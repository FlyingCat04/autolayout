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land_TCong\Sewing R&amp;D\"/>
    </mc:Choice>
  </mc:AlternateContent>
  <xr:revisionPtr revIDLastSave="0" documentId="13_ncr:1_{7DE2EECE-0A7E-46B1-B23C-1A6FD510E0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Operations" sheetId="2" r:id="rId2"/>
    <sheet name="Link" sheetId="4" r:id="rId3"/>
    <sheet name="Data Validation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H2" i="4"/>
  <c r="G2" i="4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G3" i="4"/>
  <c r="G4" i="4"/>
  <c r="G5" i="4"/>
  <c r="G6" i="4"/>
  <c r="G7" i="4"/>
  <c r="G8" i="4"/>
  <c r="G9" i="4"/>
  <c r="G10" i="4"/>
  <c r="G11" i="4"/>
  <c r="H11" i="4" s="1"/>
  <c r="G12" i="4"/>
  <c r="G13" i="4"/>
  <c r="G14" i="4"/>
  <c r="G15" i="4"/>
  <c r="G16" i="4"/>
  <c r="G17" i="4"/>
  <c r="G18" i="4"/>
  <c r="G19" i="4"/>
  <c r="G20" i="4"/>
  <c r="G21" i="4"/>
  <c r="G22" i="4"/>
  <c r="H22" i="4" s="1"/>
  <c r="G23" i="4"/>
  <c r="H23" i="4" s="1"/>
  <c r="G24" i="4"/>
  <c r="G25" i="4"/>
  <c r="G26" i="4"/>
  <c r="G27" i="4"/>
  <c r="G28" i="4"/>
  <c r="G29" i="4"/>
  <c r="G30" i="4"/>
  <c r="G31" i="4"/>
  <c r="G32" i="4"/>
  <c r="G33" i="4"/>
  <c r="G34" i="4"/>
  <c r="H34" i="4" s="1"/>
  <c r="G35" i="4"/>
  <c r="H35" i="4" s="1"/>
  <c r="G36" i="4"/>
  <c r="G37" i="4"/>
  <c r="G38" i="4"/>
  <c r="G39" i="4"/>
  <c r="G40" i="4"/>
  <c r="G41" i="4"/>
  <c r="G42" i="4"/>
  <c r="G43" i="4"/>
  <c r="G44" i="4"/>
  <c r="G45" i="4"/>
  <c r="G46" i="4"/>
  <c r="H46" i="4" s="1"/>
  <c r="G47" i="4"/>
  <c r="H47" i="4" s="1"/>
  <c r="G48" i="4"/>
  <c r="G49" i="4"/>
  <c r="H49" i="4" s="1"/>
  <c r="G50" i="4"/>
  <c r="G51" i="4"/>
  <c r="G52" i="4"/>
  <c r="G53" i="4"/>
  <c r="G54" i="4"/>
  <c r="G55" i="4"/>
  <c r="G56" i="4"/>
  <c r="G57" i="4"/>
  <c r="G58" i="4"/>
  <c r="H58" i="4" s="1"/>
  <c r="G59" i="4"/>
  <c r="H59" i="4" s="1"/>
  <c r="G60" i="4"/>
  <c r="G61" i="4"/>
  <c r="H61" i="4" s="1"/>
  <c r="G62" i="4"/>
  <c r="G63" i="4"/>
  <c r="G64" i="4"/>
  <c r="G65" i="4"/>
  <c r="G66" i="4"/>
  <c r="G67" i="4"/>
  <c r="G68" i="4"/>
  <c r="G69" i="4"/>
  <c r="G70" i="4"/>
  <c r="H70" i="4" s="1"/>
  <c r="G71" i="4"/>
  <c r="H71" i="4" s="1"/>
  <c r="G72" i="4"/>
  <c r="G73" i="4"/>
  <c r="H73" i="4" s="1"/>
  <c r="G74" i="4"/>
  <c r="G75" i="4"/>
  <c r="G76" i="4"/>
  <c r="G77" i="4"/>
  <c r="G78" i="4"/>
  <c r="G79" i="4"/>
  <c r="G80" i="4"/>
  <c r="G81" i="4"/>
  <c r="G82" i="4"/>
  <c r="H82" i="4" s="1"/>
  <c r="G83" i="4"/>
  <c r="H83" i="4" s="1"/>
  <c r="G84" i="4"/>
  <c r="H84" i="4" s="1"/>
  <c r="G85" i="4"/>
  <c r="H85" i="4" s="1"/>
  <c r="G86" i="4"/>
  <c r="H86" i="4" s="1"/>
  <c r="G87" i="4"/>
  <c r="G88" i="4"/>
  <c r="G89" i="4"/>
  <c r="G90" i="4"/>
  <c r="G91" i="4"/>
  <c r="G92" i="4"/>
  <c r="G93" i="4"/>
  <c r="G94" i="4"/>
  <c r="H94" i="4" s="1"/>
  <c r="G95" i="4"/>
  <c r="H95" i="4" s="1"/>
  <c r="G96" i="4"/>
  <c r="H96" i="4" s="1"/>
  <c r="G97" i="4"/>
  <c r="H97" i="4" s="1"/>
  <c r="G98" i="4"/>
  <c r="H98" i="4" s="1"/>
  <c r="G99" i="4"/>
  <c r="G100" i="4"/>
  <c r="G101" i="4"/>
  <c r="G102" i="4"/>
  <c r="G103" i="4"/>
  <c r="G104" i="4"/>
  <c r="G105" i="4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G112" i="4"/>
  <c r="G113" i="4"/>
  <c r="G114" i="4"/>
  <c r="G115" i="4"/>
  <c r="G116" i="4"/>
  <c r="G117" i="4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G124" i="4"/>
  <c r="G125" i="4"/>
  <c r="G126" i="4"/>
  <c r="G127" i="4"/>
  <c r="G128" i="4"/>
  <c r="G129" i="4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G136" i="4"/>
  <c r="G137" i="4"/>
  <c r="G138" i="4"/>
  <c r="G139" i="4"/>
  <c r="G140" i="4"/>
  <c r="G141" i="4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G148" i="4"/>
  <c r="G149" i="4"/>
  <c r="G150" i="4"/>
  <c r="G151" i="4"/>
  <c r="G152" i="4"/>
  <c r="G153" i="4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G160" i="4"/>
  <c r="G161" i="4"/>
  <c r="G162" i="4"/>
  <c r="G163" i="4"/>
  <c r="G164" i="4"/>
  <c r="G165" i="4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G172" i="4"/>
  <c r="G173" i="4"/>
  <c r="G174" i="4"/>
  <c r="G175" i="4"/>
  <c r="G176" i="4"/>
  <c r="G177" i="4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G184" i="4"/>
  <c r="G185" i="4"/>
  <c r="G186" i="4"/>
  <c r="G187" i="4"/>
  <c r="G188" i="4"/>
  <c r="G189" i="4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G196" i="4"/>
  <c r="G197" i="4"/>
  <c r="G198" i="4"/>
  <c r="G199" i="4"/>
  <c r="G200" i="4"/>
  <c r="G201" i="4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G208" i="4"/>
  <c r="G209" i="4"/>
  <c r="G210" i="4"/>
  <c r="G211" i="4"/>
  <c r="G212" i="4"/>
  <c r="G213" i="4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G220" i="4"/>
  <c r="G221" i="4"/>
  <c r="G222" i="4"/>
  <c r="G223" i="4"/>
  <c r="G224" i="4"/>
  <c r="G225" i="4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G232" i="4"/>
  <c r="G233" i="4"/>
  <c r="G234" i="4"/>
  <c r="G235" i="4"/>
  <c r="G236" i="4"/>
  <c r="G237" i="4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G244" i="4"/>
  <c r="G245" i="4"/>
  <c r="G246" i="4"/>
  <c r="G247" i="4"/>
  <c r="G248" i="4"/>
  <c r="G249" i="4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G256" i="4"/>
  <c r="G257" i="4"/>
  <c r="G258" i="4"/>
  <c r="G259" i="4"/>
  <c r="G260" i="4"/>
  <c r="G261" i="4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G268" i="4"/>
  <c r="G269" i="4"/>
  <c r="G270" i="4"/>
  <c r="G271" i="4"/>
  <c r="G272" i="4"/>
  <c r="G273" i="4"/>
  <c r="G274" i="4"/>
  <c r="H274" i="4" s="1"/>
  <c r="G275" i="4"/>
  <c r="H275" i="4" s="1"/>
  <c r="G276" i="4"/>
  <c r="H276" i="4" s="1"/>
  <c r="G277" i="4"/>
  <c r="H277" i="4" s="1"/>
  <c r="G278" i="4"/>
  <c r="H278" i="4" s="1"/>
  <c r="G279" i="4"/>
  <c r="G280" i="4"/>
  <c r="G281" i="4"/>
  <c r="G282" i="4"/>
  <c r="G283" i="4"/>
  <c r="G284" i="4"/>
  <c r="G285" i="4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G292" i="4"/>
  <c r="G293" i="4"/>
  <c r="G294" i="4"/>
  <c r="G295" i="4"/>
  <c r="G296" i="4"/>
  <c r="G297" i="4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G304" i="4"/>
  <c r="G305" i="4"/>
  <c r="G306" i="4"/>
  <c r="G307" i="4"/>
  <c r="G308" i="4"/>
  <c r="G309" i="4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G316" i="4"/>
  <c r="G317" i="4"/>
  <c r="G318" i="4"/>
  <c r="G319" i="4"/>
  <c r="G320" i="4"/>
  <c r="G321" i="4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G328" i="4"/>
  <c r="G329" i="4"/>
  <c r="G330" i="4"/>
  <c r="G331" i="4"/>
  <c r="G332" i="4"/>
  <c r="G333" i="4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G340" i="4"/>
  <c r="G341" i="4"/>
  <c r="G342" i="4"/>
  <c r="G343" i="4"/>
  <c r="G344" i="4"/>
  <c r="G345" i="4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G352" i="4"/>
  <c r="G353" i="4"/>
  <c r="G354" i="4"/>
  <c r="G355" i="4"/>
  <c r="G356" i="4"/>
  <c r="G357" i="4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G364" i="4"/>
  <c r="G365" i="4"/>
  <c r="G366" i="4"/>
  <c r="G367" i="4"/>
  <c r="G368" i="4"/>
  <c r="G369" i="4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G376" i="4"/>
  <c r="G377" i="4"/>
  <c r="G378" i="4"/>
  <c r="G379" i="4"/>
  <c r="G380" i="4"/>
  <c r="G381" i="4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G388" i="4"/>
  <c r="G389" i="4"/>
  <c r="G390" i="4"/>
  <c r="G391" i="4"/>
  <c r="G392" i="4"/>
  <c r="G393" i="4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G400" i="4"/>
  <c r="G401" i="4"/>
  <c r="G402" i="4"/>
  <c r="G403" i="4"/>
  <c r="G404" i="4"/>
  <c r="G405" i="4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G412" i="4"/>
  <c r="G413" i="4"/>
  <c r="G414" i="4"/>
  <c r="G415" i="4"/>
  <c r="G416" i="4"/>
  <c r="G417" i="4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G424" i="4"/>
  <c r="G425" i="4"/>
  <c r="G426" i="4"/>
  <c r="G427" i="4"/>
  <c r="G428" i="4"/>
  <c r="G429" i="4"/>
  <c r="G430" i="4"/>
  <c r="H430" i="4" s="1"/>
  <c r="G431" i="4"/>
  <c r="H431" i="4" s="1"/>
  <c r="G432" i="4"/>
  <c r="H432" i="4" s="1"/>
  <c r="G433" i="4"/>
  <c r="H433" i="4" s="1"/>
  <c r="G434" i="4"/>
  <c r="H434" i="4" s="1"/>
  <c r="G435" i="4"/>
  <c r="G436" i="4"/>
  <c r="G437" i="4"/>
  <c r="G438" i="4"/>
  <c r="G439" i="4"/>
  <c r="G440" i="4"/>
  <c r="G441" i="4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G448" i="4"/>
  <c r="G449" i="4"/>
  <c r="G450" i="4"/>
  <c r="G451" i="4"/>
  <c r="G452" i="4"/>
  <c r="G453" i="4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G460" i="4"/>
  <c r="G461" i="4"/>
  <c r="G462" i="4"/>
  <c r="G463" i="4"/>
  <c r="G464" i="4"/>
  <c r="G465" i="4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G472" i="4"/>
  <c r="G473" i="4"/>
  <c r="G474" i="4"/>
  <c r="G475" i="4"/>
  <c r="G476" i="4"/>
  <c r="G477" i="4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G484" i="4"/>
  <c r="G485" i="4"/>
  <c r="G486" i="4"/>
  <c r="G487" i="4"/>
  <c r="G488" i="4"/>
  <c r="G489" i="4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G496" i="4"/>
  <c r="G497" i="4"/>
  <c r="G498" i="4"/>
  <c r="G499" i="4"/>
  <c r="G500" i="4"/>
  <c r="G501" i="4"/>
  <c r="G502" i="4"/>
  <c r="H502" i="4" s="1"/>
  <c r="G503" i="4"/>
  <c r="H503" i="4" s="1"/>
  <c r="G504" i="4"/>
  <c r="H504" i="4" s="1"/>
  <c r="G505" i="4"/>
  <c r="H505" i="4" s="1"/>
  <c r="G506" i="4"/>
  <c r="H506" i="4" s="1"/>
  <c r="G507" i="4"/>
  <c r="H507" i="4" s="1"/>
  <c r="G508" i="4"/>
  <c r="G509" i="4"/>
  <c r="G510" i="4"/>
  <c r="G511" i="4"/>
  <c r="G512" i="4"/>
  <c r="G513" i="4"/>
  <c r="G514" i="4"/>
  <c r="H514" i="4" s="1"/>
  <c r="G515" i="4"/>
  <c r="H515" i="4" s="1"/>
  <c r="G516" i="4"/>
  <c r="H516" i="4" s="1"/>
  <c r="G517" i="4"/>
  <c r="H517" i="4" s="1"/>
  <c r="G518" i="4"/>
  <c r="H518" i="4" s="1"/>
  <c r="G519" i="4"/>
  <c r="H519" i="4" s="1"/>
  <c r="G520" i="4"/>
  <c r="G521" i="4"/>
  <c r="H3" i="4"/>
  <c r="H4" i="4"/>
  <c r="H5" i="4"/>
  <c r="H6" i="4"/>
  <c r="H7" i="4"/>
  <c r="H8" i="4"/>
  <c r="H9" i="4"/>
  <c r="H10" i="4"/>
  <c r="H12" i="4"/>
  <c r="H13" i="4"/>
  <c r="H14" i="4"/>
  <c r="H15" i="4"/>
  <c r="H16" i="4"/>
  <c r="H17" i="4"/>
  <c r="H18" i="4"/>
  <c r="H19" i="4"/>
  <c r="H20" i="4"/>
  <c r="H21" i="4"/>
  <c r="H24" i="4"/>
  <c r="H25" i="4"/>
  <c r="H26" i="4"/>
  <c r="H27" i="4"/>
  <c r="H28" i="4"/>
  <c r="H29" i="4"/>
  <c r="H30" i="4"/>
  <c r="H31" i="4"/>
  <c r="H32" i="4"/>
  <c r="H33" i="4"/>
  <c r="H36" i="4"/>
  <c r="H37" i="4"/>
  <c r="H38" i="4"/>
  <c r="H39" i="4"/>
  <c r="H40" i="4"/>
  <c r="H41" i="4"/>
  <c r="H42" i="4"/>
  <c r="H43" i="4"/>
  <c r="H44" i="4"/>
  <c r="H45" i="4"/>
  <c r="H48" i="4"/>
  <c r="H50" i="4"/>
  <c r="H51" i="4"/>
  <c r="H52" i="4"/>
  <c r="H53" i="4"/>
  <c r="H54" i="4"/>
  <c r="H55" i="4"/>
  <c r="H56" i="4"/>
  <c r="H57" i="4"/>
  <c r="H60" i="4"/>
  <c r="H62" i="4"/>
  <c r="H63" i="4"/>
  <c r="H64" i="4"/>
  <c r="H65" i="4"/>
  <c r="H66" i="4"/>
  <c r="H67" i="4"/>
  <c r="H68" i="4"/>
  <c r="H69" i="4"/>
  <c r="H72" i="4"/>
  <c r="H74" i="4"/>
  <c r="H75" i="4"/>
  <c r="H76" i="4"/>
  <c r="H77" i="4"/>
  <c r="H78" i="4"/>
  <c r="H79" i="4"/>
  <c r="H80" i="4"/>
  <c r="H81" i="4"/>
  <c r="H87" i="4"/>
  <c r="H88" i="4"/>
  <c r="H89" i="4"/>
  <c r="H90" i="4"/>
  <c r="H91" i="4"/>
  <c r="H92" i="4"/>
  <c r="H93" i="4"/>
  <c r="H99" i="4"/>
  <c r="H100" i="4"/>
  <c r="H101" i="4"/>
  <c r="H102" i="4"/>
  <c r="H103" i="4"/>
  <c r="H104" i="4"/>
  <c r="H105" i="4"/>
  <c r="H111" i="4"/>
  <c r="H112" i="4"/>
  <c r="H113" i="4"/>
  <c r="H114" i="4"/>
  <c r="H115" i="4"/>
  <c r="H116" i="4"/>
  <c r="H117" i="4"/>
  <c r="H123" i="4"/>
  <c r="H124" i="4"/>
  <c r="H125" i="4"/>
  <c r="H126" i="4"/>
  <c r="H127" i="4"/>
  <c r="H128" i="4"/>
  <c r="H129" i="4"/>
  <c r="H135" i="4"/>
  <c r="H136" i="4"/>
  <c r="H137" i="4"/>
  <c r="H138" i="4"/>
  <c r="H139" i="4"/>
  <c r="H140" i="4"/>
  <c r="H141" i="4"/>
  <c r="H147" i="4"/>
  <c r="H148" i="4"/>
  <c r="H149" i="4"/>
  <c r="H150" i="4"/>
  <c r="H151" i="4"/>
  <c r="H152" i="4"/>
  <c r="H153" i="4"/>
  <c r="H159" i="4"/>
  <c r="H160" i="4"/>
  <c r="H161" i="4"/>
  <c r="H162" i="4"/>
  <c r="H163" i="4"/>
  <c r="H164" i="4"/>
  <c r="H165" i="4"/>
  <c r="H171" i="4"/>
  <c r="H172" i="4"/>
  <c r="H173" i="4"/>
  <c r="H174" i="4"/>
  <c r="H175" i="4"/>
  <c r="H176" i="4"/>
  <c r="H177" i="4"/>
  <c r="H183" i="4"/>
  <c r="H184" i="4"/>
  <c r="H185" i="4"/>
  <c r="H186" i="4"/>
  <c r="H187" i="4"/>
  <c r="H188" i="4"/>
  <c r="H189" i="4"/>
  <c r="H195" i="4"/>
  <c r="H196" i="4"/>
  <c r="H197" i="4"/>
  <c r="H198" i="4"/>
  <c r="H199" i="4"/>
  <c r="H200" i="4"/>
  <c r="H201" i="4"/>
  <c r="H207" i="4"/>
  <c r="H208" i="4"/>
  <c r="H209" i="4"/>
  <c r="H210" i="4"/>
  <c r="H211" i="4"/>
  <c r="H212" i="4"/>
  <c r="H213" i="4"/>
  <c r="H219" i="4"/>
  <c r="H220" i="4"/>
  <c r="H221" i="4"/>
  <c r="H222" i="4"/>
  <c r="H223" i="4"/>
  <c r="H224" i="4"/>
  <c r="H225" i="4"/>
  <c r="H231" i="4"/>
  <c r="H232" i="4"/>
  <c r="H233" i="4"/>
  <c r="H234" i="4"/>
  <c r="H235" i="4"/>
  <c r="H236" i="4"/>
  <c r="H237" i="4"/>
  <c r="H243" i="4"/>
  <c r="H244" i="4"/>
  <c r="H245" i="4"/>
  <c r="H246" i="4"/>
  <c r="H247" i="4"/>
  <c r="H248" i="4"/>
  <c r="H249" i="4"/>
  <c r="H255" i="4"/>
  <c r="H256" i="4"/>
  <c r="H257" i="4"/>
  <c r="H258" i="4"/>
  <c r="H259" i="4"/>
  <c r="H260" i="4"/>
  <c r="H261" i="4"/>
  <c r="H267" i="4"/>
  <c r="H268" i="4"/>
  <c r="H269" i="4"/>
  <c r="H270" i="4"/>
  <c r="H271" i="4"/>
  <c r="H272" i="4"/>
  <c r="H273" i="4"/>
  <c r="H279" i="4"/>
  <c r="H280" i="4"/>
  <c r="H281" i="4"/>
  <c r="H282" i="4"/>
  <c r="H283" i="4"/>
  <c r="H284" i="4"/>
  <c r="H285" i="4"/>
  <c r="H291" i="4"/>
  <c r="H292" i="4"/>
  <c r="H293" i="4"/>
  <c r="H294" i="4"/>
  <c r="H295" i="4"/>
  <c r="H296" i="4"/>
  <c r="H297" i="4"/>
  <c r="H303" i="4"/>
  <c r="H304" i="4"/>
  <c r="H305" i="4"/>
  <c r="H306" i="4"/>
  <c r="H307" i="4"/>
  <c r="H308" i="4"/>
  <c r="H309" i="4"/>
  <c r="H315" i="4"/>
  <c r="H316" i="4"/>
  <c r="H317" i="4"/>
  <c r="H318" i="4"/>
  <c r="H319" i="4"/>
  <c r="H320" i="4"/>
  <c r="H321" i="4"/>
  <c r="H327" i="4"/>
  <c r="H328" i="4"/>
  <c r="H329" i="4"/>
  <c r="H330" i="4"/>
  <c r="H331" i="4"/>
  <c r="H332" i="4"/>
  <c r="H333" i="4"/>
  <c r="H339" i="4"/>
  <c r="H340" i="4"/>
  <c r="H341" i="4"/>
  <c r="H342" i="4"/>
  <c r="H343" i="4"/>
  <c r="H344" i="4"/>
  <c r="H345" i="4"/>
  <c r="H351" i="4"/>
  <c r="H352" i="4"/>
  <c r="H353" i="4"/>
  <c r="H354" i="4"/>
  <c r="H355" i="4"/>
  <c r="H356" i="4"/>
  <c r="H357" i="4"/>
  <c r="H363" i="4"/>
  <c r="H364" i="4"/>
  <c r="H365" i="4"/>
  <c r="H366" i="4"/>
  <c r="H367" i="4"/>
  <c r="H368" i="4"/>
  <c r="H369" i="4"/>
  <c r="H375" i="4"/>
  <c r="H376" i="4"/>
  <c r="H377" i="4"/>
  <c r="H378" i="4"/>
  <c r="H379" i="4"/>
  <c r="H380" i="4"/>
  <c r="H381" i="4"/>
  <c r="H387" i="4"/>
  <c r="H388" i="4"/>
  <c r="H389" i="4"/>
  <c r="H390" i="4"/>
  <c r="H391" i="4"/>
  <c r="H392" i="4"/>
  <c r="H393" i="4"/>
  <c r="H399" i="4"/>
  <c r="H400" i="4"/>
  <c r="H401" i="4"/>
  <c r="H402" i="4"/>
  <c r="H403" i="4"/>
  <c r="H404" i="4"/>
  <c r="H405" i="4"/>
  <c r="H411" i="4"/>
  <c r="H412" i="4"/>
  <c r="H413" i="4"/>
  <c r="H414" i="4"/>
  <c r="H415" i="4"/>
  <c r="H416" i="4"/>
  <c r="H417" i="4"/>
  <c r="H423" i="4"/>
  <c r="H424" i="4"/>
  <c r="H425" i="4"/>
  <c r="H426" i="4"/>
  <c r="H427" i="4"/>
  <c r="H428" i="4"/>
  <c r="H429" i="4"/>
  <c r="H435" i="4"/>
  <c r="H436" i="4"/>
  <c r="H437" i="4"/>
  <c r="H438" i="4"/>
  <c r="H439" i="4"/>
  <c r="H440" i="4"/>
  <c r="H441" i="4"/>
  <c r="H447" i="4"/>
  <c r="H448" i="4"/>
  <c r="H449" i="4"/>
  <c r="H450" i="4"/>
  <c r="H451" i="4"/>
  <c r="H452" i="4"/>
  <c r="H453" i="4"/>
  <c r="H459" i="4"/>
  <c r="H460" i="4"/>
  <c r="H461" i="4"/>
  <c r="H462" i="4"/>
  <c r="H463" i="4"/>
  <c r="H464" i="4"/>
  <c r="H465" i="4"/>
  <c r="H471" i="4"/>
  <c r="H472" i="4"/>
  <c r="H473" i="4"/>
  <c r="H474" i="4"/>
  <c r="H475" i="4"/>
  <c r="H476" i="4"/>
  <c r="H477" i="4"/>
  <c r="H483" i="4"/>
  <c r="H484" i="4"/>
  <c r="H485" i="4"/>
  <c r="H486" i="4"/>
  <c r="H487" i="4"/>
  <c r="H488" i="4"/>
  <c r="H489" i="4"/>
  <c r="H495" i="4"/>
  <c r="H496" i="4"/>
  <c r="H497" i="4"/>
  <c r="H498" i="4"/>
  <c r="H499" i="4"/>
  <c r="H500" i="4"/>
  <c r="H501" i="4"/>
  <c r="H508" i="4"/>
  <c r="H509" i="4"/>
  <c r="H510" i="4"/>
  <c r="H511" i="4"/>
  <c r="H512" i="4"/>
  <c r="H513" i="4"/>
  <c r="H520" i="4"/>
  <c r="H521" i="4"/>
  <c r="F2" i="4"/>
  <c r="M11" i="2"/>
  <c r="L11" i="2"/>
  <c r="L12" i="2"/>
  <c r="M12" i="2" s="1"/>
  <c r="M9" i="2"/>
  <c r="L9" i="2"/>
  <c r="N9" i="2" s="1"/>
  <c r="M10" i="2"/>
  <c r="L10" i="2"/>
  <c r="L15" i="2"/>
  <c r="L14" i="2"/>
  <c r="M14" i="2" s="1"/>
  <c r="M15" i="2"/>
  <c r="M16" i="2"/>
  <c r="L16" i="2"/>
  <c r="L3" i="2"/>
  <c r="M4" i="2" l="1"/>
  <c r="N4" i="2"/>
  <c r="O4" i="2"/>
  <c r="O5" i="2"/>
  <c r="L6" i="2"/>
  <c r="N8" i="2"/>
  <c r="O8" i="2"/>
  <c r="N18" i="2"/>
  <c r="O18" i="2"/>
  <c r="L19" i="2"/>
  <c r="M19" i="2"/>
  <c r="N19" i="2"/>
  <c r="O19" i="2"/>
  <c r="L20" i="2"/>
  <c r="M20" i="2"/>
  <c r="N20" i="2"/>
  <c r="O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O32" i="2"/>
  <c r="L33" i="2"/>
  <c r="M33" i="2"/>
  <c r="N33" i="2"/>
  <c r="O33" i="2"/>
  <c r="L34" i="2"/>
  <c r="M34" i="2"/>
  <c r="N34" i="2"/>
  <c r="O34" i="2"/>
  <c r="L35" i="2"/>
  <c r="M35" i="2"/>
  <c r="N35" i="2"/>
  <c r="O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M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L55" i="2"/>
  <c r="M55" i="2"/>
  <c r="N55" i="2"/>
  <c r="O55" i="2"/>
  <c r="L56" i="2"/>
  <c r="M56" i="2"/>
  <c r="N56" i="2"/>
  <c r="O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L101" i="2"/>
  <c r="M101" i="2"/>
  <c r="N101" i="2"/>
  <c r="O101" i="2"/>
  <c r="L102" i="2"/>
  <c r="M102" i="2"/>
  <c r="N102" i="2"/>
  <c r="O102" i="2"/>
  <c r="L103" i="2"/>
  <c r="M103" i="2"/>
  <c r="N103" i="2"/>
  <c r="O103" i="2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L110" i="2"/>
  <c r="M110" i="2"/>
  <c r="N110" i="2"/>
  <c r="O110" i="2"/>
  <c r="L111" i="2"/>
  <c r="M111" i="2"/>
  <c r="N111" i="2"/>
  <c r="O111" i="2"/>
  <c r="L112" i="2"/>
  <c r="M112" i="2"/>
  <c r="N112" i="2"/>
  <c r="O112" i="2"/>
  <c r="L113" i="2"/>
  <c r="M113" i="2"/>
  <c r="N113" i="2"/>
  <c r="O113" i="2"/>
  <c r="L114" i="2"/>
  <c r="M114" i="2"/>
  <c r="N114" i="2"/>
  <c r="O114" i="2"/>
  <c r="L115" i="2"/>
  <c r="M115" i="2"/>
  <c r="N115" i="2"/>
  <c r="O115" i="2"/>
  <c r="L116" i="2"/>
  <c r="M116" i="2"/>
  <c r="N116" i="2"/>
  <c r="O116" i="2"/>
  <c r="L117" i="2"/>
  <c r="M117" i="2"/>
  <c r="N117" i="2"/>
  <c r="O117" i="2"/>
  <c r="L118" i="2"/>
  <c r="M118" i="2"/>
  <c r="N118" i="2"/>
  <c r="O118" i="2"/>
  <c r="L119" i="2"/>
  <c r="M119" i="2"/>
  <c r="N119" i="2"/>
  <c r="O119" i="2"/>
  <c r="L120" i="2"/>
  <c r="M120" i="2"/>
  <c r="N120" i="2"/>
  <c r="O120" i="2"/>
  <c r="L121" i="2"/>
  <c r="M121" i="2"/>
  <c r="N121" i="2"/>
  <c r="O121" i="2"/>
  <c r="L122" i="2"/>
  <c r="M122" i="2"/>
  <c r="N122" i="2"/>
  <c r="O122" i="2"/>
  <c r="L123" i="2"/>
  <c r="M123" i="2"/>
  <c r="N123" i="2"/>
  <c r="O123" i="2"/>
  <c r="L124" i="2"/>
  <c r="M124" i="2"/>
  <c r="N124" i="2"/>
  <c r="O124" i="2"/>
  <c r="L125" i="2"/>
  <c r="M125" i="2"/>
  <c r="N125" i="2"/>
  <c r="O125" i="2"/>
  <c r="L126" i="2"/>
  <c r="M126" i="2"/>
  <c r="N126" i="2"/>
  <c r="O126" i="2"/>
  <c r="L127" i="2"/>
  <c r="M127" i="2"/>
  <c r="N127" i="2"/>
  <c r="O127" i="2"/>
  <c r="L128" i="2"/>
  <c r="M128" i="2"/>
  <c r="N128" i="2"/>
  <c r="O128" i="2"/>
  <c r="L129" i="2"/>
  <c r="M129" i="2"/>
  <c r="N129" i="2"/>
  <c r="O129" i="2"/>
  <c r="L130" i="2"/>
  <c r="M130" i="2"/>
  <c r="N130" i="2"/>
  <c r="O130" i="2"/>
  <c r="L131" i="2"/>
  <c r="M131" i="2"/>
  <c r="N131" i="2"/>
  <c r="O131" i="2"/>
  <c r="L132" i="2"/>
  <c r="M132" i="2"/>
  <c r="N132" i="2"/>
  <c r="O132" i="2"/>
  <c r="B2" i="1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C2" i="4"/>
  <c r="B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E135" i="4"/>
  <c r="E136" i="4"/>
  <c r="E137" i="4"/>
  <c r="F137" i="4" s="1"/>
  <c r="E138" i="4"/>
  <c r="E139" i="4"/>
  <c r="E140" i="4"/>
  <c r="E141" i="4"/>
  <c r="E142" i="4"/>
  <c r="F142" i="4" s="1"/>
  <c r="E143" i="4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F257" i="4" s="1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F394" i="4" s="1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F494" i="4" s="1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2" i="4"/>
  <c r="A7" i="1" a="1"/>
  <c r="G4" i="2"/>
  <c r="L4" i="2" s="1"/>
  <c r="G5" i="2"/>
  <c r="M5" i="2" s="1"/>
  <c r="G6" i="2"/>
  <c r="M6" i="2" s="1"/>
  <c r="G7" i="2"/>
  <c r="L7" i="2" s="1"/>
  <c r="G8" i="2"/>
  <c r="L8" i="2" s="1"/>
  <c r="G9" i="2"/>
  <c r="G10" i="2"/>
  <c r="G11" i="2"/>
  <c r="G12" i="2"/>
  <c r="G13" i="2"/>
  <c r="L13" i="2" s="1"/>
  <c r="G14" i="2"/>
  <c r="G15" i="2"/>
  <c r="G16" i="2"/>
  <c r="G17" i="2"/>
  <c r="L17" i="2" s="1"/>
  <c r="G18" i="2"/>
  <c r="L18" i="2" s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3" i="2"/>
  <c r="D13" i="1" l="1" a="1"/>
  <c r="D13" i="1" s="1"/>
  <c r="D14" i="1" a="1"/>
  <c r="D14" i="1" s="1"/>
  <c r="D24" i="1" a="1"/>
  <c r="D24" i="1" s="1"/>
  <c r="D15" i="1" a="1"/>
  <c r="D15" i="1" s="1"/>
  <c r="D25" i="1" a="1"/>
  <c r="D25" i="1" s="1"/>
  <c r="D16" i="1" a="1"/>
  <c r="D16" i="1" s="1"/>
  <c r="D26" i="1" a="1"/>
  <c r="D26" i="1" s="1"/>
  <c r="D22" i="1" a="1"/>
  <c r="D22" i="1" s="1"/>
  <c r="D17" i="1" a="1"/>
  <c r="D17" i="1" s="1"/>
  <c r="D27" i="1" a="1"/>
  <c r="D27" i="1" s="1"/>
  <c r="D28" i="1" a="1"/>
  <c r="D28" i="1" s="1"/>
  <c r="D8" i="1" a="1"/>
  <c r="D8" i="1" s="1"/>
  <c r="D18" i="1" a="1"/>
  <c r="D18" i="1" s="1"/>
  <c r="D29" i="1" a="1"/>
  <c r="D29" i="1" s="1"/>
  <c r="D9" i="1" a="1"/>
  <c r="D9" i="1" s="1"/>
  <c r="D19" i="1" a="1"/>
  <c r="D19" i="1" s="1"/>
  <c r="D30" i="1" a="1"/>
  <c r="D30" i="1" s="1"/>
  <c r="D20" i="1" a="1"/>
  <c r="D20" i="1" s="1"/>
  <c r="D21" i="1" a="1"/>
  <c r="D21" i="1" s="1"/>
  <c r="D12" i="1" a="1"/>
  <c r="D12" i="1" s="1"/>
  <c r="D23" i="1" a="1"/>
  <c r="D23" i="1" s="1"/>
  <c r="F3" i="4"/>
  <c r="F135" i="4"/>
  <c r="O6" i="2"/>
  <c r="F5" i="4"/>
  <c r="N6" i="2"/>
  <c r="F6" i="4"/>
  <c r="M8" i="2"/>
  <c r="F7" i="4"/>
  <c r="M7" i="2"/>
  <c r="F136" i="4" s="1"/>
  <c r="O7" i="2"/>
  <c r="N7" i="2"/>
  <c r="F266" i="4" s="1"/>
  <c r="F138" i="4"/>
  <c r="F8" i="4"/>
  <c r="F139" i="4"/>
  <c r="F9" i="4"/>
  <c r="F141" i="4"/>
  <c r="F140" i="4"/>
  <c r="F10" i="4"/>
  <c r="F11" i="4"/>
  <c r="O13" i="2"/>
  <c r="N13" i="2"/>
  <c r="M13" i="2"/>
  <c r="F12" i="4"/>
  <c r="F13" i="4"/>
  <c r="F143" i="4"/>
  <c r="F14" i="4"/>
  <c r="L5" i="2"/>
  <c r="F134" i="4"/>
  <c r="F4" i="4"/>
  <c r="N5" i="2"/>
  <c r="F15" i="4"/>
  <c r="F16" i="4"/>
  <c r="O17" i="2"/>
  <c r="N17" i="2"/>
  <c r="M17" i="2"/>
  <c r="F17" i="4"/>
  <c r="M18" i="2"/>
  <c r="B1" i="2"/>
  <c r="B26" i="1"/>
  <c r="A7" i="1"/>
  <c r="D7" i="1" s="1" a="1"/>
  <c r="D7" i="1" s="1"/>
  <c r="E26" i="1" l="1"/>
  <c r="B7" i="1"/>
  <c r="E7" i="1" s="1"/>
  <c r="B33" i="1"/>
  <c r="B16" i="1"/>
  <c r="B10" i="1"/>
  <c r="E10" i="1" s="1"/>
  <c r="B15" i="1"/>
  <c r="B22" i="1"/>
  <c r="B23" i="1"/>
  <c r="B8" i="1"/>
  <c r="B20" i="1"/>
  <c r="B18" i="1"/>
  <c r="B34" i="1"/>
  <c r="B13" i="1"/>
  <c r="B36" i="1"/>
  <c r="B19" i="1"/>
  <c r="B25" i="1"/>
  <c r="B11" i="1"/>
  <c r="B27" i="1"/>
  <c r="B12" i="1"/>
  <c r="B24" i="1"/>
  <c r="B30" i="1"/>
  <c r="B35" i="1"/>
  <c r="B31" i="1"/>
  <c r="B14" i="1"/>
  <c r="B28" i="1"/>
  <c r="B17" i="1"/>
  <c r="B29" i="1"/>
  <c r="B32" i="1"/>
  <c r="B9" i="1"/>
  <c r="B21" i="1"/>
  <c r="E13" i="1" l="1"/>
  <c r="E14" i="1"/>
  <c r="E34" i="1"/>
  <c r="E31" i="1"/>
  <c r="E18" i="1"/>
  <c r="E35" i="1"/>
  <c r="E20" i="1"/>
  <c r="E30" i="1"/>
  <c r="E8" i="1"/>
  <c r="E23" i="1"/>
  <c r="E28" i="1"/>
  <c r="E12" i="1"/>
  <c r="E22" i="1"/>
  <c r="E27" i="1"/>
  <c r="E15" i="1"/>
  <c r="E11" i="1"/>
  <c r="E33" i="1"/>
  <c r="E24" i="1"/>
  <c r="E21" i="1"/>
  <c r="E9" i="1"/>
  <c r="E32" i="1"/>
  <c r="E25" i="1"/>
  <c r="E16" i="1"/>
  <c r="E29" i="1"/>
  <c r="E19" i="1"/>
  <c r="E17" i="1"/>
  <c r="E36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<sst xmlns="http://schemas.openxmlformats.org/spreadsheetml/2006/main" count="1290" uniqueCount="209">
  <si>
    <t>PO</t>
  </si>
  <si>
    <t>Worker ID</t>
  </si>
  <si>
    <t>OpID</t>
  </si>
  <si>
    <t>Machine</t>
  </si>
  <si>
    <t>SMV (s)</t>
  </si>
  <si>
    <t>GSD ID</t>
  </si>
  <si>
    <t>Level</t>
  </si>
  <si>
    <t>Operations</t>
  </si>
  <si>
    <t>OP02</t>
  </si>
  <si>
    <t>OP01</t>
  </si>
  <si>
    <t>OP03</t>
  </si>
  <si>
    <t>OP04</t>
  </si>
  <si>
    <t>OP05</t>
  </si>
  <si>
    <t>OP06</t>
  </si>
  <si>
    <t>OP07</t>
  </si>
  <si>
    <t>OP08</t>
  </si>
  <si>
    <t>OP09</t>
  </si>
  <si>
    <t>OP10</t>
  </si>
  <si>
    <t>OP11</t>
  </si>
  <si>
    <t>OP12</t>
  </si>
  <si>
    <t>OP13</t>
  </si>
  <si>
    <t>OP14</t>
  </si>
  <si>
    <t>OP15</t>
  </si>
  <si>
    <t>OP16</t>
  </si>
  <si>
    <t>OP17</t>
  </si>
  <si>
    <t>OP18</t>
  </si>
  <si>
    <t>OP19</t>
  </si>
  <si>
    <t>OP20</t>
  </si>
  <si>
    <t>OP21</t>
  </si>
  <si>
    <t>OP22</t>
  </si>
  <si>
    <t>OP23</t>
  </si>
  <si>
    <t>OP24</t>
  </si>
  <si>
    <t>OP25</t>
  </si>
  <si>
    <t>OP26</t>
  </si>
  <si>
    <t>OP27</t>
  </si>
  <si>
    <t>OP28</t>
  </si>
  <si>
    <t>OP29</t>
  </si>
  <si>
    <t>OP30</t>
  </si>
  <si>
    <t>OP31</t>
  </si>
  <si>
    <t>OP32</t>
  </si>
  <si>
    <t>OP33</t>
  </si>
  <si>
    <t>OP34</t>
  </si>
  <si>
    <t>OP35</t>
  </si>
  <si>
    <t>OP36</t>
  </si>
  <si>
    <t>OP37</t>
  </si>
  <si>
    <t>OP38</t>
  </si>
  <si>
    <t>OP39</t>
  </si>
  <si>
    <t>OP40</t>
  </si>
  <si>
    <t>OP41</t>
  </si>
  <si>
    <t>OP42</t>
  </si>
  <si>
    <t>OP43</t>
  </si>
  <si>
    <t>OP44</t>
  </si>
  <si>
    <t>OP45</t>
  </si>
  <si>
    <t>OP46</t>
  </si>
  <si>
    <t>OP47</t>
  </si>
  <si>
    <t>OP48</t>
  </si>
  <si>
    <t>OP49</t>
  </si>
  <si>
    <t>OP50</t>
  </si>
  <si>
    <t>OP51</t>
  </si>
  <si>
    <t>OP52</t>
  </si>
  <si>
    <t>OP53</t>
  </si>
  <si>
    <t>OP54</t>
  </si>
  <si>
    <t>OP55</t>
  </si>
  <si>
    <t>OP56</t>
  </si>
  <si>
    <t>OP57</t>
  </si>
  <si>
    <t>OP58</t>
  </si>
  <si>
    <t>OP59</t>
  </si>
  <si>
    <t>OP60</t>
  </si>
  <si>
    <t>OP61</t>
  </si>
  <si>
    <t>OP62</t>
  </si>
  <si>
    <t>OP63</t>
  </si>
  <si>
    <t>OP64</t>
  </si>
  <si>
    <t>OP65</t>
  </si>
  <si>
    <t>OP66</t>
  </si>
  <si>
    <t>OP67</t>
  </si>
  <si>
    <t>OP68</t>
  </si>
  <si>
    <t>OP69</t>
  </si>
  <si>
    <t>OP70</t>
  </si>
  <si>
    <t>OP71</t>
  </si>
  <si>
    <t>OP72</t>
  </si>
  <si>
    <t>OP73</t>
  </si>
  <si>
    <t>OP74</t>
  </si>
  <si>
    <t>OP75</t>
  </si>
  <si>
    <t>OP76</t>
  </si>
  <si>
    <t>OP77</t>
  </si>
  <si>
    <t>OP78</t>
  </si>
  <si>
    <t>OP79</t>
  </si>
  <si>
    <t>OP80</t>
  </si>
  <si>
    <t>OP81</t>
  </si>
  <si>
    <t>OP82</t>
  </si>
  <si>
    <t>OP83</t>
  </si>
  <si>
    <t>OP84</t>
  </si>
  <si>
    <t>OP85</t>
  </si>
  <si>
    <t>OP86</t>
  </si>
  <si>
    <t>OP87</t>
  </si>
  <si>
    <t>OP88</t>
  </si>
  <si>
    <t>OP89</t>
  </si>
  <si>
    <t>OP90</t>
  </si>
  <si>
    <t>OP91</t>
  </si>
  <si>
    <t>OP92</t>
  </si>
  <si>
    <t>OP93</t>
  </si>
  <si>
    <t>OP94</t>
  </si>
  <si>
    <t>OP95</t>
  </si>
  <si>
    <t>OP96</t>
  </si>
  <si>
    <t>OP97</t>
  </si>
  <si>
    <t>OP98</t>
  </si>
  <si>
    <t>OP99</t>
  </si>
  <si>
    <t>OP100</t>
  </si>
  <si>
    <t>OP101</t>
  </si>
  <si>
    <t>OP102</t>
  </si>
  <si>
    <t>OP103</t>
  </si>
  <si>
    <t>OP104</t>
  </si>
  <si>
    <t>OP105</t>
  </si>
  <si>
    <t>OP106</t>
  </si>
  <si>
    <t>OP107</t>
  </si>
  <si>
    <t>OP108</t>
  </si>
  <si>
    <t>OP109</t>
  </si>
  <si>
    <t>OP110</t>
  </si>
  <si>
    <t>OP111</t>
  </si>
  <si>
    <t>OP112</t>
  </si>
  <si>
    <t>OP113</t>
  </si>
  <si>
    <t>OP114</t>
  </si>
  <si>
    <t>OP115</t>
  </si>
  <si>
    <t>OP116</t>
  </si>
  <si>
    <t>OP117</t>
  </si>
  <si>
    <t>OP118</t>
  </si>
  <si>
    <t>OP119</t>
  </si>
  <si>
    <t>OP120</t>
  </si>
  <si>
    <t>OP121</t>
  </si>
  <si>
    <t>OP122</t>
  </si>
  <si>
    <t>OP123</t>
  </si>
  <si>
    <t>OP124</t>
  </si>
  <si>
    <t>OP125</t>
  </si>
  <si>
    <t>OP126</t>
  </si>
  <si>
    <t>OP127</t>
  </si>
  <si>
    <t>OP128</t>
  </si>
  <si>
    <t>OP129</t>
  </si>
  <si>
    <t>OP130</t>
  </si>
  <si>
    <t>WorkerQty</t>
  </si>
  <si>
    <t>Takt-time:</t>
  </si>
  <si>
    <t>VL</t>
  </si>
  <si>
    <t>Takt-time
(Thời gian chuẩn)</t>
  </si>
  <si>
    <t>Total_Load_sec
(Tổng thời gian)</t>
  </si>
  <si>
    <t>Xưởng may (Factory)</t>
  </si>
  <si>
    <t>Chuyền (Line)</t>
  </si>
  <si>
    <t>MO</t>
  </si>
  <si>
    <t>Station
(Trạm)</t>
  </si>
  <si>
    <t>Worker</t>
  </si>
  <si>
    <t>Treo móc</t>
  </si>
  <si>
    <t>Worker1</t>
  </si>
  <si>
    <t>Worker2</t>
  </si>
  <si>
    <t>Worker3</t>
  </si>
  <si>
    <t>Worker4</t>
  </si>
  <si>
    <t>Time (s)</t>
  </si>
  <si>
    <t>Rank Suggest (Bậc CN)</t>
  </si>
  <si>
    <t>Workers name
(Nhân công)</t>
  </si>
  <si>
    <t>SMV (p)</t>
  </si>
  <si>
    <t>Target/h</t>
  </si>
  <si>
    <t>Style</t>
  </si>
  <si>
    <t>Allocation worker</t>
  </si>
  <si>
    <t>Weight of Workload</t>
  </si>
  <si>
    <t>YT61I4O0</t>
  </si>
  <si>
    <t>Khóa lai áo tròn</t>
  </si>
  <si>
    <t>May lai áo tròn</t>
  </si>
  <si>
    <t>Khóa lai tay dài</t>
  </si>
  <si>
    <t xml:space="preserve">VS sườn tay dài + sườn áo  + gắn nhãn </t>
  </si>
  <si>
    <t>Lược nhãn sườn</t>
  </si>
  <si>
    <t>VS tra tay thẳng</t>
  </si>
  <si>
    <t>Mí viền cổ - canh nhãn cổ</t>
  </si>
  <si>
    <t xml:space="preserve">LD + lược 1 nhãn vào giữa cổ </t>
  </si>
  <si>
    <t>Bẻ + gói chèo 2 đầu viền</t>
  </si>
  <si>
    <t>Tra viền cổ sau</t>
  </si>
  <si>
    <t>VS tra bo cổ</t>
  </si>
  <si>
    <t>VS vai</t>
  </si>
  <si>
    <t>May lai tay thẳng</t>
  </si>
  <si>
    <t>Lộn + lược chân bo cổ</t>
  </si>
  <si>
    <t xml:space="preserve">Nối bo cổ RIB </t>
  </si>
  <si>
    <t>MB</t>
  </si>
  <si>
    <t>C</t>
  </si>
  <si>
    <t>KS2K</t>
  </si>
  <si>
    <t>B</t>
  </si>
  <si>
    <t>MVS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</si>
  <si>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</si>
  <si>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</si>
  <si>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</si>
  <si>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</si>
  <si>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</si>
  <si>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</si>
  <si>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</si>
  <si>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</si>
  <si>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</si>
  <si>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</si>
  <si>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</si>
  <si>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</si>
  <si>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</si>
  <si>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</si>
  <si>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</si>
  <si>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</si>
  <si>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</si>
  <si>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</si>
  <si>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</si>
  <si>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</si>
  <si>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</si>
  <si>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W23</t>
  </si>
  <si>
    <t>W24</t>
  </si>
  <si>
    <t>W22</t>
  </si>
  <si>
    <t>Target</t>
  </si>
  <si>
    <t>Operation + Hour Target
(Công đoạn + Mục tiêu theo giờ)</t>
  </si>
  <si>
    <t>này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</si>
</sst>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quotePrefix="1" applyFont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/>
    </xf>
    <xf numFmtId="164" fontId="0" fillId="0" borderId="1" xfId="1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0" xfId="0" applyNumberFormat="1"/>
    <xf numFmtId="1" fontId="0" fillId="0" borderId="0" xfId="0" applyNumberFormat="1" applyFont="1"/>
    <xf numFmtId="0" fontId="1" fillId="0" borderId="2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Line 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Summary!$A$7:$A$30</c:f>
              <c:strCache>
                <c:ptCount val="2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</c:strCache>
            </c:strRef>
          </c:cat>
          <c:val>
            <c:numRef>
              <c:f>Summary!$B$7:$B$30</c:f>
              <c:numCache>
                <c:formatCode>_-* #,##0.00_-;\-* #,##0.00_-;_-* "-"_-;_-@_-</c:formatCode>
                <c:ptCount val="24"/>
                <c:pt idx="0">
                  <c:v>15</c:v>
                </c:pt>
                <c:pt idx="1">
                  <c:v>13.766</c:v>
                </c:pt>
                <c:pt idx="2">
                  <c:v>15.797999999999998</c:v>
                </c:pt>
                <c:pt idx="3">
                  <c:v>15.144545454545453</c:v>
                </c:pt>
                <c:pt idx="4">
                  <c:v>12.683454545454547</c:v>
                </c:pt>
                <c:pt idx="5">
                  <c:v>16</c:v>
                </c:pt>
                <c:pt idx="6">
                  <c:v>16</c:v>
                </c:pt>
                <c:pt idx="7">
                  <c:v>15.010000000000002</c:v>
                </c:pt>
                <c:pt idx="8">
                  <c:v>15.18</c:v>
                </c:pt>
                <c:pt idx="9">
                  <c:v>16.7</c:v>
                </c:pt>
                <c:pt idx="10">
                  <c:v>16.7</c:v>
                </c:pt>
                <c:pt idx="11">
                  <c:v>16.981999999999999</c:v>
                </c:pt>
                <c:pt idx="12">
                  <c:v>15</c:v>
                </c:pt>
                <c:pt idx="13">
                  <c:v>16.5</c:v>
                </c:pt>
                <c:pt idx="14">
                  <c:v>16.5</c:v>
                </c:pt>
                <c:pt idx="15">
                  <c:v>15.077999999999999</c:v>
                </c:pt>
                <c:pt idx="16">
                  <c:v>14.408000000000001</c:v>
                </c:pt>
                <c:pt idx="17">
                  <c:v>14.408000000000001</c:v>
                </c:pt>
                <c:pt idx="18">
                  <c:v>14.408000000000001</c:v>
                </c:pt>
                <c:pt idx="19">
                  <c:v>14.847</c:v>
                </c:pt>
                <c:pt idx="20">
                  <c:v>14.847</c:v>
                </c:pt>
                <c:pt idx="21">
                  <c:v>12.144</c:v>
                </c:pt>
                <c:pt idx="22">
                  <c:v>15.048000000000002</c:v>
                </c:pt>
                <c:pt idx="23">
                  <c:v>15.048000000000002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8-4E4C-AAA0-880520F9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383824"/>
        <c:axId val="28959816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Summary!$A$7:$A$30</c:f>
              <c:strCache>
                <c:ptCount val="2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</c:strCache>
            </c:strRef>
          </c:cat>
          <c:val>
            <c:numRef>
              <c:f>Summary!$H$7:$H$30</c:f>
              <c:numCache>
                <c:formatCode>_-* #,##0.00_-;\-* #,##0.00_-;_-* "-"_-;_-@_-</c:formatCode>
                <c:ptCount val="24"/>
                <c:pt idx="0">
                  <c:v>15.125</c:v>
                </c:pt>
                <c:pt idx="1">
                  <c:v>15.125</c:v>
                </c:pt>
                <c:pt idx="2">
                  <c:v>15.125</c:v>
                </c:pt>
                <c:pt idx="3">
                  <c:v>15.125</c:v>
                </c:pt>
                <c:pt idx="4">
                  <c:v>15.125</c:v>
                </c:pt>
                <c:pt idx="5">
                  <c:v>15.125</c:v>
                </c:pt>
                <c:pt idx="6">
                  <c:v>15.125</c:v>
                </c:pt>
                <c:pt idx="7">
                  <c:v>15.125</c:v>
                </c:pt>
                <c:pt idx="8">
                  <c:v>15.125</c:v>
                </c:pt>
                <c:pt idx="9">
                  <c:v>15.125</c:v>
                </c:pt>
                <c:pt idx="10">
                  <c:v>15.125</c:v>
                </c:pt>
                <c:pt idx="11">
                  <c:v>15.125</c:v>
                </c:pt>
                <c:pt idx="12">
                  <c:v>15.125</c:v>
                </c:pt>
                <c:pt idx="13">
                  <c:v>15.125</c:v>
                </c:pt>
                <c:pt idx="14">
                  <c:v>15.125</c:v>
                </c:pt>
                <c:pt idx="15">
                  <c:v>15.125</c:v>
                </c:pt>
                <c:pt idx="16">
                  <c:v>15.125</c:v>
                </c:pt>
                <c:pt idx="17">
                  <c:v>15.125</c:v>
                </c:pt>
                <c:pt idx="18">
                  <c:v>15.125</c:v>
                </c:pt>
                <c:pt idx="19">
                  <c:v>15.125</c:v>
                </c:pt>
                <c:pt idx="20">
                  <c:v>15.125</c:v>
                </c:pt>
                <c:pt idx="21">
                  <c:v>15.125</c:v>
                </c:pt>
                <c:pt idx="22">
                  <c:v>15.125</c:v>
                </c:pt>
                <c:pt idx="23">
                  <c:v>15.125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8-4E4C-AAA0-880520F9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383824"/>
        <c:axId val="289598160"/>
      </c:lineChart>
      <c:catAx>
        <c:axId val="19763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98160"/>
        <c:crosses val="autoZero"/>
        <c:auto val="1"/>
        <c:lblAlgn val="ctr"/>
        <c:lblOffset val="100"/>
        <c:noMultiLvlLbl val="0"/>
      </c:catAx>
      <c:valAx>
        <c:axId val="28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Line 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Summary!$A$7:$A$36</c:f>
              <c:strCache>
                <c:ptCount val="2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</c:strCache>
            </c:strRef>
          </c:cat>
          <c:val>
            <c:numRef>
              <c:f>Summary!$B$7:$B$36</c:f>
              <c:numCache>
                <c:formatCode>_-* #,##0.00_-;\-* #,##0.00_-;_-* "-"_-;_-@_-</c:formatCode>
                <c:ptCount val="30"/>
                <c:pt idx="0">
                  <c:v>15</c:v>
                </c:pt>
                <c:pt idx="1">
                  <c:v>13.766</c:v>
                </c:pt>
                <c:pt idx="2">
                  <c:v>15.797999999999998</c:v>
                </c:pt>
                <c:pt idx="3">
                  <c:v>15.144545454545453</c:v>
                </c:pt>
                <c:pt idx="4">
                  <c:v>12.683454545454547</c:v>
                </c:pt>
                <c:pt idx="5">
                  <c:v>16</c:v>
                </c:pt>
                <c:pt idx="6">
                  <c:v>16</c:v>
                </c:pt>
                <c:pt idx="7">
                  <c:v>15.010000000000002</c:v>
                </c:pt>
                <c:pt idx="8">
                  <c:v>15.18</c:v>
                </c:pt>
                <c:pt idx="9">
                  <c:v>16.7</c:v>
                </c:pt>
                <c:pt idx="10">
                  <c:v>16.7</c:v>
                </c:pt>
                <c:pt idx="11">
                  <c:v>16.981999999999999</c:v>
                </c:pt>
                <c:pt idx="12">
                  <c:v>15</c:v>
                </c:pt>
                <c:pt idx="13">
                  <c:v>16.5</c:v>
                </c:pt>
                <c:pt idx="14">
                  <c:v>16.5</c:v>
                </c:pt>
                <c:pt idx="15">
                  <c:v>15.077999999999999</c:v>
                </c:pt>
                <c:pt idx="16">
                  <c:v>14.408000000000001</c:v>
                </c:pt>
                <c:pt idx="17">
                  <c:v>14.408000000000001</c:v>
                </c:pt>
                <c:pt idx="18">
                  <c:v>14.408000000000001</c:v>
                </c:pt>
                <c:pt idx="19">
                  <c:v>14.847</c:v>
                </c:pt>
                <c:pt idx="20">
                  <c:v>14.847</c:v>
                </c:pt>
                <c:pt idx="21">
                  <c:v>12.144</c:v>
                </c:pt>
                <c:pt idx="22">
                  <c:v>15.048000000000002</c:v>
                </c:pt>
                <c:pt idx="23">
                  <c:v>15.048000000000002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5-4510-9A11-01644D92A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383824"/>
        <c:axId val="28959816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Summary!$A$7:$A$36</c:f>
              <c:strCache>
                <c:ptCount val="2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</c:strCache>
            </c:strRef>
          </c:cat>
          <c:val>
            <c:numRef>
              <c:f>Summary!$H$7:$H$36</c:f>
              <c:numCache>
                <c:formatCode>_-* #,##0.00_-;\-* #,##0.00_-;_-* "-"_-;_-@_-</c:formatCode>
                <c:ptCount val="30"/>
                <c:pt idx="0">
                  <c:v>15.125</c:v>
                </c:pt>
                <c:pt idx="1">
                  <c:v>15.125</c:v>
                </c:pt>
                <c:pt idx="2">
                  <c:v>15.125</c:v>
                </c:pt>
                <c:pt idx="3">
                  <c:v>15.125</c:v>
                </c:pt>
                <c:pt idx="4">
                  <c:v>15.125</c:v>
                </c:pt>
                <c:pt idx="5">
                  <c:v>15.125</c:v>
                </c:pt>
                <c:pt idx="6">
                  <c:v>15.125</c:v>
                </c:pt>
                <c:pt idx="7">
                  <c:v>15.125</c:v>
                </c:pt>
                <c:pt idx="8">
                  <c:v>15.125</c:v>
                </c:pt>
                <c:pt idx="9">
                  <c:v>15.125</c:v>
                </c:pt>
                <c:pt idx="10">
                  <c:v>15.125</c:v>
                </c:pt>
                <c:pt idx="11">
                  <c:v>15.125</c:v>
                </c:pt>
                <c:pt idx="12">
                  <c:v>15.125</c:v>
                </c:pt>
                <c:pt idx="13">
                  <c:v>15.125</c:v>
                </c:pt>
                <c:pt idx="14">
                  <c:v>15.125</c:v>
                </c:pt>
                <c:pt idx="15">
                  <c:v>15.125</c:v>
                </c:pt>
                <c:pt idx="16">
                  <c:v>15.125</c:v>
                </c:pt>
                <c:pt idx="17">
                  <c:v>15.125</c:v>
                </c:pt>
                <c:pt idx="18">
                  <c:v>15.125</c:v>
                </c:pt>
                <c:pt idx="19">
                  <c:v>15.125</c:v>
                </c:pt>
                <c:pt idx="20">
                  <c:v>15.125</c:v>
                </c:pt>
                <c:pt idx="21">
                  <c:v>15.125</c:v>
                </c:pt>
                <c:pt idx="22">
                  <c:v>15.125</c:v>
                </c:pt>
                <c:pt idx="23">
                  <c:v>15.125</c:v>
                </c:pt>
                <c:pt idx="24">
                  <c:v>15.125</c:v>
                </c:pt>
                <c:pt idx="25">
                  <c:v>15.125</c:v>
                </c:pt>
                <c:pt idx="26">
                  <c:v>15.125</c:v>
                </c:pt>
                <c:pt idx="27">
                  <c:v>15.125</c:v>
                </c:pt>
                <c:pt idx="28">
                  <c:v>15.125</c:v>
                </c:pt>
                <c:pt idx="29">
                  <c:v>15.125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5-4510-9A11-01644D92A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383824"/>
        <c:axId val="289598160"/>
      </c:lineChart>
      <c:catAx>
        <c:axId val="19763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98160"/>
        <c:crosses val="autoZero"/>
        <c:auto val="1"/>
        <c:lblAlgn val="ctr"/>
        <c:lblOffset val="100"/>
        <c:noMultiLvlLbl val="0"/>
      </c:catAx>
      <c:valAx>
        <c:axId val="28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30</xdr:row>
      <xdr:rowOff>30481</xdr:rowOff>
    </xdr:from>
    <xdr:to>
      <xdr:col>7</xdr:col>
      <xdr:colOff>1154430</xdr:colOff>
      <xdr:row>50</xdr:row>
      <xdr:rowOff>140971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EC9803-D0E7-7F4B-1B55-62DE7023C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7</xdr:row>
      <xdr:rowOff>15240</xdr:rowOff>
    </xdr:from>
    <xdr:to>
      <xdr:col>31</xdr:col>
      <xdr:colOff>234315</xdr:colOff>
      <xdr:row>31</xdr:row>
      <xdr:rowOff>18098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226E1-FDD0-4F32-8CAA-46E5E21C5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D14" sqref="D14"/>
    </sheetView>
  </sheetViews>
  <sheetFormatPr defaultRowHeight="14.4" x14ac:dyDescent="0.3"/>
  <cols>
    <col min="1" max="1" width="10.88671875" customWidth="1"/>
    <col min="2" max="2" width="16.77734375" customWidth="1"/>
    <col min="3" max="3" width="18.6640625" customWidth="1"/>
    <col min="4" max="4" width="39.77734375" customWidth="1"/>
    <col min="5" max="5" width="13.44140625" customWidth="1"/>
    <col min="6" max="6" width="14.6640625" customWidth="1"/>
    <col min="7" max="7" width="11.109375" customWidth="1"/>
    <col min="8" max="8" width="17.21875" customWidth="1"/>
  </cols>
  <sheetData>
    <row r="1" spans="1:8" x14ac:dyDescent="0.3">
      <c r="A1" s="16" t="s">
        <v>4</v>
      </c>
      <c r="B1" s="4">
        <v>343</v>
      </c>
      <c r="C1" s="26"/>
      <c r="D1" s="18" t="s">
        <v>0</v>
      </c>
      <c r="E1" s="4">
        <v>1851</v>
      </c>
    </row>
    <row r="2" spans="1:8" x14ac:dyDescent="0.3">
      <c r="A2" s="16" t="s">
        <v>156</v>
      </c>
      <c r="B2" s="22">
        <f>B1/60</f>
        <v>5.7166666666666668</v>
      </c>
      <c r="C2" s="26"/>
      <c r="D2" s="18" t="s">
        <v>158</v>
      </c>
      <c r="E2" s="4" t="s">
        <v>161</v>
      </c>
    </row>
    <row r="3" spans="1:8" x14ac:dyDescent="0.3">
      <c r="A3" s="17" t="s">
        <v>145</v>
      </c>
      <c r="B3" s="4">
        <v>24</v>
      </c>
      <c r="C3" s="26"/>
      <c r="D3" s="18" t="s">
        <v>143</v>
      </c>
      <c r="E3" s="4">
        <v>5</v>
      </c>
    </row>
    <row r="4" spans="1:8" ht="14.4" customHeight="1" x14ac:dyDescent="0.3">
      <c r="A4" s="17" t="s">
        <v>157</v>
      </c>
      <c r="B4" s="20">
        <f>60*60/MAX(B7:B36)</f>
        <v>211.98916499823343</v>
      </c>
      <c r="C4" s="26"/>
      <c r="D4" s="18" t="s">
        <v>144</v>
      </c>
      <c r="E4" s="4">
        <v>12</v>
      </c>
    </row>
    <row r="5" spans="1:8" x14ac:dyDescent="0.3">
      <c r="C5" s="26"/>
    </row>
    <row r="6" spans="1:8" ht="28.8" x14ac:dyDescent="0.3">
      <c r="A6" s="10" t="s">
        <v>1</v>
      </c>
      <c r="B6" s="10" t="s">
        <v>142</v>
      </c>
      <c r="C6" s="10" t="s">
        <v>141</v>
      </c>
      <c r="D6" s="10" t="s">
        <v>207</v>
      </c>
      <c r="E6" s="10" t="s">
        <v>154</v>
      </c>
      <c r="F6" s="10" t="s">
        <v>155</v>
      </c>
      <c r="G6" s="10" t="s">
        <v>146</v>
      </c>
      <c r="H6" s="10" t="s">
        <v>141</v>
      </c>
    </row>
    <row r="7" spans="1:8" s="7" customFormat="1" ht="24" customHeight="1" x14ac:dyDescent="0.3">
      <c r="A7" s="12" t="str" cm="1">
        <f t="array" ref="A7:A30">"W"&amp;TEXT(_xlfn.SEQUENCE($B$3), "00")</f>
        <v>W01</v>
      </c>
      <c r="B7" s="19">
        <f>SUMIF(Link!$E$2:$E$521,Summary!A7,Link!$F$2:$F$521)</f>
        <v>15</v>
      </c>
      <c r="C7" s="19">
        <f>IF(Operations!$G$3=0,$B$1/$B$3,($B$1+Operations!$F$3)/$B$3)</f>
        <v>15.125</v>
      </c>
      <c r="D7" s="15" t="str" cm="1">
        <f t="array" ref="D7">IF(A7&lt;&gt;0,_xlfn.TEXTJOIN(", ",TRUE,_xlfn._xlws.FILTER(Link!$H$2:$H$521,(Link!$E$2:$E$521=Summary!A7)*(Link!$F$2:$F$521&gt;0))),0)</f>
        <v>Treo móc: 180</v>
      </c>
      <c r="E7" s="13" t="str">
        <f t="shared" ref="E7:E36" si="0">IF(OR(B7=0,H7=0),0,IF(B7&lt;=H7,"Bậc 2/Bậc 3","Bậc 4/Bậc 5"))</f>
        <v>Bậc 2/Bậc 3</v>
      </c>
      <c r="F7" s="13"/>
      <c r="G7" s="14"/>
      <c r="H7" s="19">
        <f>IF(Operations!$G$3=0,$B$1/$B$3,($B$1+Operations!$F$3)/$B$3)</f>
        <v>15.125</v>
      </c>
    </row>
    <row r="8" spans="1:8" s="7" customFormat="1" ht="24" customHeight="1" x14ac:dyDescent="0.3">
      <c r="A8" s="12" t="str">
        <v>W02</v>
      </c>
      <c r="B8" s="19">
        <f>SUMIF(Link!$E$2:$E$521,Summary!A8,Link!$F$2:$F$521)</f>
        <v>13.766</v>
      </c>
      <c r="C8" s="19">
        <f>IF(Operations!$G$3=0,$B$1/$B$3,($B$1+Operations!$F$3)/$B$3)</f>
        <v>15.125</v>
      </c>
      <c r="D8" s="15" t="str" cm="1">
        <f t="array" ref="D8">IF(A8&lt;&gt;0,_xlfn.TEXTJOIN(", ",TRUE,_xlfn._xlws.FILTER(Link!$H$2:$H$521,(Link!$E$2:$E$521=Summary!A8)*(Link!$F$2:$F$521&gt;0))),0)</f>
        <v>Nối bo cổ RIB : 262, Treo móc: 65</v>
      </c>
      <c r="E8" s="13" t="str">
        <f t="shared" si="0"/>
        <v>Bậc 2/Bậc 3</v>
      </c>
      <c r="F8" s="13"/>
      <c r="G8" s="14"/>
      <c r="H8" s="19">
        <f>IF(Operations!$G$3=0,$B$1/$B$3,($B$1+Operations!$F$3)/$B$3)</f>
        <v>15.125</v>
      </c>
    </row>
    <row r="9" spans="1:8" s="7" customFormat="1" ht="24" customHeight="1" x14ac:dyDescent="0.3">
      <c r="A9" s="12" t="str">
        <v>W03</v>
      </c>
      <c r="B9" s="19">
        <f>SUMIF(Link!$E$2:$E$521,Summary!A9,Link!$F$2:$F$521)</f>
        <v>15.797999999999998</v>
      </c>
      <c r="C9" s="19">
        <f>IF(Operations!$G$3=0,$B$1/$B$3,($B$1+Operations!$F$3)/$B$3)</f>
        <v>15.125</v>
      </c>
      <c r="D9" s="15" t="str" cm="1">
        <f t="array" ref="D9">IF(A9&lt;&gt;0,_xlfn.TEXTJOIN(", ",TRUE,_xlfn._xlws.FILTER(Link!$H$2:$H$521,(Link!$E$2:$E$521=Summary!A9)*(Link!$F$2:$F$521&gt;0))),0)</f>
        <v>Lộn + lược chân bo cổ: 228</v>
      </c>
      <c r="E9" s="13" t="str">
        <f t="shared" si="0"/>
        <v>Bậc 4/Bậc 5</v>
      </c>
      <c r="F9" s="13"/>
      <c r="G9" s="14"/>
      <c r="H9" s="19">
        <f>IF(Operations!$G$3=0,$B$1/$B$3,($B$1+Operations!$F$3)/$B$3)</f>
        <v>15.125</v>
      </c>
    </row>
    <row r="10" spans="1:8" s="7" customFormat="1" ht="24" customHeight="1" x14ac:dyDescent="0.3">
      <c r="A10" s="12" t="str">
        <v>W04</v>
      </c>
      <c r="B10" s="19">
        <f>SUMIF(Link!$E$2:$E$521,Summary!A10,Link!$F$2:$F$521)</f>
        <v>15.144545454545453</v>
      </c>
      <c r="C10" s="19">
        <f>IF(Operations!$G$3=0,$B$1/$B$3,($B$1+Operations!$F$3)/$B$3)</f>
        <v>15.125</v>
      </c>
      <c r="D10" s="15" t="str" cm="1">
        <f t="array" ref="D10">IF(A10&lt;&gt;0,_xlfn.TEXTJOIN(", ",TRUE,_xlfn._xlws.FILTER(Link!$H$2:$H$521,(Link!$E$2:$E$521=Summary!A10)*(Link!$F$2:$F$521&gt;0))),0)</f>
        <v>May lai tay thẳng: 162</v>
      </c>
      <c r="E10" s="13" t="str">
        <f t="shared" si="0"/>
        <v>Bậc 4/Bậc 5</v>
      </c>
      <c r="F10" s="13"/>
      <c r="G10" s="14"/>
      <c r="H10" s="19">
        <f>IF(Operations!$G$3=0,$B$1/$B$3,($B$1+Operations!$F$3)/$B$3)</f>
        <v>15.125</v>
      </c>
    </row>
    <row r="11" spans="1:8" s="7" customFormat="1" ht="24" customHeight="1" x14ac:dyDescent="0.3">
      <c r="A11" s="24" t="str">
        <v>W05</v>
      </c>
      <c r="B11" s="19">
        <f>SUMIF(Link!$E$2:$E$521,Summary!A11,Link!$F$2:$F$521)</f>
        <v>12.683454545454547</v>
      </c>
      <c r="C11" s="19">
        <f>IF(Operations!$G$3=0,$B$1/$B$3,($B$1+Operations!$F$3)/$B$3)</f>
        <v>15.125</v>
      </c>
      <c r="D11" s="15" t="s">
        <v>208</v>
      </c>
      <c r="E11" s="13" t="str">
        <f t="shared" si="0"/>
        <v>Bậc 2/Bậc 3</v>
      </c>
      <c r="F11" s="13"/>
      <c r="G11" s="14"/>
      <c r="H11" s="19">
        <f>IF(Operations!$G$3=0,$B$1/$B$3,($B$1+Operations!$F$3)/$B$3)</f>
        <v>15.125</v>
      </c>
    </row>
    <row r="12" spans="1:8" s="7" customFormat="1" ht="24" customHeight="1" x14ac:dyDescent="0.3">
      <c r="A12" s="12" t="str">
        <v>W06</v>
      </c>
      <c r="B12" s="19">
        <f>SUMIF(Link!$E$2:$E$521,Summary!A12,Link!$F$2:$F$521)</f>
        <v>16</v>
      </c>
      <c r="C12" s="19">
        <f>IF(Operations!$G$3=0,$B$1/$B$3,($B$1+Operations!$F$3)/$B$3)</f>
        <v>15.125</v>
      </c>
      <c r="D12" s="15" t="str" cm="1">
        <f t="array" ref="D12">IF(A12&lt;&gt;0,_xlfn.TEXTJOIN(", ",TRUE,_xlfn._xlws.FILTER(Link!$H$2:$H$521,(Link!$E$2:$E$521=Summary!A12)*(Link!$F$2:$F$521&gt;0))),0)</f>
        <v>VS vai: 163</v>
      </c>
      <c r="E12" s="13" t="str">
        <f t="shared" si="0"/>
        <v>Bậc 4/Bậc 5</v>
      </c>
      <c r="F12" s="13"/>
      <c r="G12" s="14"/>
      <c r="H12" s="19">
        <f>IF(Operations!$G$3=0,$B$1/$B$3,($B$1+Operations!$F$3)/$B$3)</f>
        <v>15.125</v>
      </c>
    </row>
    <row r="13" spans="1:8" s="7" customFormat="1" ht="24" customHeight="1" x14ac:dyDescent="0.3">
      <c r="A13" s="12" t="str">
        <v>W07</v>
      </c>
      <c r="B13" s="19">
        <f>SUMIF(Link!$E$2:$E$521,Summary!A13,Link!$F$2:$F$521)</f>
        <v>16</v>
      </c>
      <c r="C13" s="19">
        <f>IF(Operations!$G$3=0,$B$1/$B$3,($B$1+Operations!$F$3)/$B$3)</f>
        <v>15.125</v>
      </c>
      <c r="D13" s="15" t="str" cm="1">
        <f t="array" ref="D13">IF(A13&lt;&gt;0,_xlfn.TEXTJOIN(", ",TRUE,_xlfn._xlws.FILTER(Link!$H$2:$H$521,(Link!$E$2:$E$521=Summary!A13)*(Link!$F$2:$F$521&gt;0))),0)</f>
        <v>VS tra bo cổ: 144</v>
      </c>
      <c r="E13" s="13" t="str">
        <f t="shared" si="0"/>
        <v>Bậc 4/Bậc 5</v>
      </c>
      <c r="F13" s="13"/>
      <c r="G13" s="14"/>
      <c r="H13" s="19">
        <f>IF(Operations!$G$3=0,$B$1/$B$3,($B$1+Operations!$F$3)/$B$3)</f>
        <v>15.125</v>
      </c>
    </row>
    <row r="14" spans="1:8" s="7" customFormat="1" ht="24" customHeight="1" x14ac:dyDescent="0.3">
      <c r="A14" s="12" t="str">
        <v>W08</v>
      </c>
      <c r="B14" s="19">
        <f>SUMIF(Link!$E$2:$E$521,Summary!A14,Link!$F$2:$F$521)</f>
        <v>15.010000000000002</v>
      </c>
      <c r="C14" s="19">
        <f>IF(Operations!$G$3=0,$B$1/$B$3,($B$1+Operations!$F$3)/$B$3)</f>
        <v>15.125</v>
      </c>
      <c r="D14" s="15" t="str" cm="1">
        <f t="array" ref="D14">IF(A14&lt;&gt;0,_xlfn.TEXTJOIN(", ",TRUE,_xlfn._xlws.FILTER(Link!$H$2:$H$521,(Link!$E$2:$E$521=Summary!A14)*(Link!$F$2:$F$521&gt;0))),0)</f>
        <v>VS tra bo cổ: 86, VS vai: 66</v>
      </c>
      <c r="E14" s="13" t="str">
        <f t="shared" si="0"/>
        <v>Bậc 2/Bậc 3</v>
      </c>
      <c r="F14" s="13"/>
      <c r="G14" s="14"/>
      <c r="H14" s="19">
        <f>IF(Operations!$G$3=0,$B$1/$B$3,($B$1+Operations!$F$3)/$B$3)</f>
        <v>15.125</v>
      </c>
    </row>
    <row r="15" spans="1:8" s="7" customFormat="1" ht="24" customHeight="1" x14ac:dyDescent="0.3">
      <c r="A15" s="12" t="str">
        <v>W09</v>
      </c>
      <c r="B15" s="19">
        <f>SUMIF(Link!$E$2:$E$521,Summary!A15,Link!$F$2:$F$521)</f>
        <v>15.18</v>
      </c>
      <c r="C15" s="19">
        <f>IF(Operations!$G$3=0,$B$1/$B$3,($B$1+Operations!$F$3)/$B$3)</f>
        <v>15.125</v>
      </c>
      <c r="D15" s="15" t="str" cm="1">
        <f t="array" ref="D15">IF(A15&lt;&gt;0,_xlfn.TEXTJOIN(", ",TRUE,_xlfn._xlws.FILTER(Link!$H$2:$H$521,(Link!$E$2:$E$521=Summary!A15)*(Link!$F$2:$F$521&gt;0))),0)</f>
        <v>Tra viền cổ sau: 237</v>
      </c>
      <c r="E15" s="13" t="str">
        <f t="shared" si="0"/>
        <v>Bậc 4/Bậc 5</v>
      </c>
      <c r="F15" s="13"/>
      <c r="G15" s="14"/>
      <c r="H15" s="19">
        <f>IF(Operations!$G$3=0,$B$1/$B$3,($B$1+Operations!$F$3)/$B$3)</f>
        <v>15.125</v>
      </c>
    </row>
    <row r="16" spans="1:8" s="7" customFormat="1" ht="24" customHeight="1" x14ac:dyDescent="0.3">
      <c r="A16" s="12" t="str">
        <v>W10</v>
      </c>
      <c r="B16" s="19">
        <f>SUMIF(Link!$E$2:$E$521,Summary!A16,Link!$F$2:$F$521)</f>
        <v>16.7</v>
      </c>
      <c r="C16" s="19">
        <f>IF(Operations!$G$3=0,$B$1/$B$3,($B$1+Operations!$F$3)/$B$3)</f>
        <v>15.125</v>
      </c>
      <c r="D16" s="15" t="str" cm="1">
        <f t="array" ref="D16">IF(A16&lt;&gt;0,_xlfn.TEXTJOIN(", ",TRUE,_xlfn._xlws.FILTER(Link!$H$2:$H$521,(Link!$E$2:$E$521=Summary!A16)*(Link!$F$2:$F$521&gt;0))),0)</f>
        <v>Bẻ + gói chèo 2 đầu viền: 144</v>
      </c>
      <c r="E16" s="13" t="str">
        <f t="shared" si="0"/>
        <v>Bậc 4/Bậc 5</v>
      </c>
      <c r="F16" s="13"/>
      <c r="G16" s="14"/>
      <c r="H16" s="19">
        <f>IF(Operations!$G$3=0,$B$1/$B$3,($B$1+Operations!$F$3)/$B$3)</f>
        <v>15.125</v>
      </c>
    </row>
    <row r="17" spans="1:8" s="7" customFormat="1" ht="24" customHeight="1" x14ac:dyDescent="0.3">
      <c r="A17" s="12" t="str">
        <v>W11</v>
      </c>
      <c r="B17" s="19">
        <f>SUMIF(Link!$E$2:$E$521,Summary!A17,Link!$F$2:$F$521)</f>
        <v>16.7</v>
      </c>
      <c r="C17" s="19">
        <f>IF(Operations!$G$3=0,$B$1/$B$3,($B$1+Operations!$F$3)/$B$3)</f>
        <v>15.125</v>
      </c>
      <c r="D17" s="15" t="str" cm="1">
        <f t="array" ref="D17">IF(A17&lt;&gt;0,_xlfn.TEXTJOIN(", ",TRUE,_xlfn._xlws.FILTER(Link!$H$2:$H$521,(Link!$E$2:$E$521=Summary!A17)*(Link!$F$2:$F$521&gt;0))),0)</f>
        <v>LD + lược 1 nhãn vào giữa cổ : 142</v>
      </c>
      <c r="E17" s="13" t="str">
        <f t="shared" si="0"/>
        <v>Bậc 4/Bậc 5</v>
      </c>
      <c r="F17" s="13"/>
      <c r="G17" s="14"/>
      <c r="H17" s="19">
        <f>IF(Operations!$G$3=0,$B$1/$B$3,($B$1+Operations!$F$3)/$B$3)</f>
        <v>15.125</v>
      </c>
    </row>
    <row r="18" spans="1:8" s="7" customFormat="1" ht="24" customHeight="1" x14ac:dyDescent="0.3">
      <c r="A18" s="24" t="str">
        <v>W12</v>
      </c>
      <c r="B18" s="19">
        <f>SUMIF(Link!$E$2:$E$521,Summary!A18,Link!$F$2:$F$521)</f>
        <v>16.981999999999999</v>
      </c>
      <c r="C18" s="19">
        <f>IF(Operations!$G$3=0,$B$1/$B$3,($B$1+Operations!$F$3)/$B$3)</f>
        <v>15.125</v>
      </c>
      <c r="D18" s="15" t="str" cm="1">
        <f t="array" ref="D18">IF(A18&lt;&gt;0,_xlfn.TEXTJOIN(", ",TRUE,_xlfn._xlws.FILTER(Link!$H$2:$H$521,(Link!$E$2:$E$521=Summary!A18)*(Link!$F$2:$F$521&gt;0))),0)</f>
        <v>LD + lược 1 nhãn vào giữa cổ : 73, Bẻ + gói chèo 2 đầu viền: 70</v>
      </c>
      <c r="E18" s="13" t="str">
        <f t="shared" si="0"/>
        <v>Bậc 4/Bậc 5</v>
      </c>
      <c r="F18" s="13"/>
      <c r="G18" s="14"/>
      <c r="H18" s="19">
        <f>IF(Operations!$G$3=0,$B$1/$B$3,($B$1+Operations!$F$3)/$B$3)</f>
        <v>15.125</v>
      </c>
    </row>
    <row r="19" spans="1:8" s="7" customFormat="1" ht="24" customHeight="1" x14ac:dyDescent="0.3">
      <c r="A19" s="12" t="str">
        <v>W13</v>
      </c>
      <c r="B19" s="19">
        <f>SUMIF(Link!$E$2:$E$521,Summary!A19,Link!$F$2:$F$521)</f>
        <v>15</v>
      </c>
      <c r="C19" s="19">
        <f>IF(Operations!$G$3=0,$B$1/$B$3,($B$1+Operations!$F$3)/$B$3)</f>
        <v>15.125</v>
      </c>
      <c r="D19" s="15" t="str" cm="1">
        <f t="array" ref="D19">IF(A19&lt;&gt;0,_xlfn.TEXTJOIN(", ",TRUE,_xlfn._xlws.FILTER(Link!$H$2:$H$521,(Link!$E$2:$E$521=Summary!A19)*(Link!$F$2:$F$521&gt;0))),0)</f>
        <v>Mí viền cổ - canh nhãn cổ: 175</v>
      </c>
      <c r="E19" s="13" t="str">
        <f t="shared" si="0"/>
        <v>Bậc 2/Bậc 3</v>
      </c>
      <c r="F19" s="13"/>
      <c r="G19" s="14"/>
      <c r="H19" s="19">
        <f>IF(Operations!$G$3=0,$B$1/$B$3,($B$1+Operations!$F$3)/$B$3)</f>
        <v>15.125</v>
      </c>
    </row>
    <row r="20" spans="1:8" s="7" customFormat="1" ht="24" customHeight="1" x14ac:dyDescent="0.3">
      <c r="A20" s="12" t="str">
        <v>W14</v>
      </c>
      <c r="B20" s="19">
        <f>SUMIF(Link!$E$2:$E$521,Summary!A20,Link!$F$2:$F$521)</f>
        <v>16.5</v>
      </c>
      <c r="C20" s="19">
        <f>IF(Operations!$G$3=0,$B$1/$B$3,($B$1+Operations!$F$3)/$B$3)</f>
        <v>15.125</v>
      </c>
      <c r="D20" s="15" t="str" cm="1">
        <f t="array" ref="D20">IF(A20&lt;&gt;0,_xlfn.TEXTJOIN(", ",TRUE,_xlfn._xlws.FILTER(Link!$H$2:$H$521,(Link!$E$2:$E$521=Summary!A20)*(Link!$F$2:$F$521&gt;0))),0)</f>
        <v>VS tra tay thẳng: 95</v>
      </c>
      <c r="E20" s="13" t="str">
        <f t="shared" si="0"/>
        <v>Bậc 4/Bậc 5</v>
      </c>
      <c r="F20" s="13"/>
      <c r="G20" s="14"/>
      <c r="H20" s="19">
        <f>IF(Operations!$G$3=0,$B$1/$B$3,($B$1+Operations!$F$3)/$B$3)</f>
        <v>15.125</v>
      </c>
    </row>
    <row r="21" spans="1:8" s="7" customFormat="1" ht="24" customHeight="1" x14ac:dyDescent="0.3">
      <c r="A21" s="12" t="str">
        <v>W15</v>
      </c>
      <c r="B21" s="19">
        <f>SUMIF(Link!$E$2:$E$521,Summary!A21,Link!$F$2:$F$521)</f>
        <v>16.5</v>
      </c>
      <c r="C21" s="19">
        <f>IF(Operations!$G$3=0,$B$1/$B$3,($B$1+Operations!$F$3)/$B$3)</f>
        <v>15.125</v>
      </c>
      <c r="D21" s="15" t="str" cm="1">
        <f t="array" ref="D21">IF(A21&lt;&gt;0,_xlfn.TEXTJOIN(", ",TRUE,_xlfn._xlws.FILTER(Link!$H$2:$H$521,(Link!$E$2:$E$521=Summary!A21)*(Link!$F$2:$F$521&gt;0))),0)</f>
        <v>VS tra tay thẳng: 95</v>
      </c>
      <c r="E21" s="13" t="str">
        <f t="shared" si="0"/>
        <v>Bậc 4/Bậc 5</v>
      </c>
      <c r="F21" s="13"/>
      <c r="G21" s="14"/>
      <c r="H21" s="19">
        <f>IF(Operations!$G$3=0,$B$1/$B$3,($B$1+Operations!$F$3)/$B$3)</f>
        <v>15.125</v>
      </c>
    </row>
    <row r="22" spans="1:8" s="7" customFormat="1" ht="24" customHeight="1" x14ac:dyDescent="0.3">
      <c r="A22" s="24" t="str">
        <v>W16</v>
      </c>
      <c r="B22" s="19">
        <f>SUMIF(Link!$E$2:$E$521,Summary!A22,Link!$F$2:$F$521)</f>
        <v>15.077999999999999</v>
      </c>
      <c r="C22" s="19">
        <f>IF(Operations!$G$3=0,$B$1/$B$3,($B$1+Operations!$F$3)/$B$3)</f>
        <v>15.125</v>
      </c>
      <c r="D22" s="15" t="str" cm="1">
        <f t="array" ref="D22">IF(A22&lt;&gt;0,_xlfn.TEXTJOIN(", ",TRUE,_xlfn._xlws.FILTER(Link!$H$2:$H$521,(Link!$E$2:$E$521=Summary!A22)*(Link!$F$2:$F$521&gt;0))),0)</f>
        <v>Lược nhãn sườn: 239, VS tra tay thẳng: 32</v>
      </c>
      <c r="E22" s="13" t="str">
        <f t="shared" si="0"/>
        <v>Bậc 2/Bậc 3</v>
      </c>
      <c r="F22" s="13"/>
      <c r="G22" s="14"/>
      <c r="H22" s="19">
        <f>IF(Operations!$G$3=0,$B$1/$B$3,($B$1+Operations!$F$3)/$B$3)</f>
        <v>15.125</v>
      </c>
    </row>
    <row r="23" spans="1:8" s="7" customFormat="1" ht="24" customHeight="1" x14ac:dyDescent="0.3">
      <c r="A23" s="12" t="str">
        <v>W17</v>
      </c>
      <c r="B23" s="19">
        <f>SUMIF(Link!$E$2:$E$521,Summary!A23,Link!$F$2:$F$521)</f>
        <v>14.408000000000001</v>
      </c>
      <c r="C23" s="19">
        <f>IF(Operations!$G$3=0,$B$1/$B$3,($B$1+Operations!$F$3)/$B$3)</f>
        <v>15.125</v>
      </c>
      <c r="D23" s="15" t="str" cm="1">
        <f t="array" ref="D23">IF(A23&lt;&gt;0,_xlfn.TEXTJOIN(", ",TRUE,_xlfn._xlws.FILTER(Link!$H$2:$H$521,(Link!$E$2:$E$521=Summary!A23)*(Link!$F$2:$F$521&gt;0))),0)</f>
        <v>VS sườn tay dài + sườn áo  + gắn nhãn : 83</v>
      </c>
      <c r="E23" s="13" t="str">
        <f t="shared" si="0"/>
        <v>Bậc 2/Bậc 3</v>
      </c>
      <c r="F23" s="13"/>
      <c r="G23" s="14"/>
      <c r="H23" s="19">
        <f>IF(Operations!$G$3=0,$B$1/$B$3,($B$1+Operations!$F$3)/$B$3)</f>
        <v>15.125</v>
      </c>
    </row>
    <row r="24" spans="1:8" s="7" customFormat="1" ht="24" customHeight="1" x14ac:dyDescent="0.3">
      <c r="A24" s="12" t="str">
        <v>W18</v>
      </c>
      <c r="B24" s="19">
        <f>SUMIF(Link!$E$2:$E$521,Summary!A24,Link!$F$2:$F$521)</f>
        <v>14.408000000000001</v>
      </c>
      <c r="C24" s="19">
        <f>IF(Operations!$G$3=0,$B$1/$B$3,($B$1+Operations!$F$3)/$B$3)</f>
        <v>15.125</v>
      </c>
      <c r="D24" s="15" t="str" cm="1">
        <f t="array" ref="D24">IF(A24&lt;&gt;0,_xlfn.TEXTJOIN(", ",TRUE,_xlfn._xlws.FILTER(Link!$H$2:$H$521,(Link!$E$2:$E$521=Summary!A24)*(Link!$F$2:$F$521&gt;0))),0)</f>
        <v>VS sườn tay dài + sườn áo  + gắn nhãn : 83</v>
      </c>
      <c r="E24" s="13" t="str">
        <f t="shared" si="0"/>
        <v>Bậc 2/Bậc 3</v>
      </c>
      <c r="F24" s="13"/>
      <c r="G24" s="14"/>
      <c r="H24" s="19">
        <f>IF(Operations!$G$3=0,$B$1/$B$3,($B$1+Operations!$F$3)/$B$3)</f>
        <v>15.125</v>
      </c>
    </row>
    <row r="25" spans="1:8" s="7" customFormat="1" ht="24" customHeight="1" x14ac:dyDescent="0.3">
      <c r="A25" s="12" t="str">
        <v>W19</v>
      </c>
      <c r="B25" s="19">
        <f>SUMIF(Link!$E$2:$E$521,Summary!A25,Link!$F$2:$F$521)</f>
        <v>14.408000000000001</v>
      </c>
      <c r="C25" s="19">
        <f>IF(Operations!$G$3=0,$B$1/$B$3,($B$1+Operations!$F$3)/$B$3)</f>
        <v>15.125</v>
      </c>
      <c r="D25" s="15" t="str" cm="1">
        <f t="array" ref="D25">IF(A25&lt;&gt;0,_xlfn.TEXTJOIN(", ",TRUE,_xlfn._xlws.FILTER(Link!$H$2:$H$521,(Link!$E$2:$E$521=Summary!A25)*(Link!$F$2:$F$521&gt;0))),0)</f>
        <v>VS sườn tay dài + sườn áo  + gắn nhãn : 83</v>
      </c>
      <c r="E25" s="13" t="str">
        <f t="shared" si="0"/>
        <v>Bậc 2/Bậc 3</v>
      </c>
      <c r="F25" s="13"/>
      <c r="G25" s="14"/>
      <c r="H25" s="19">
        <f>IF(Operations!$G$3=0,$B$1/$B$3,($B$1+Operations!$F$3)/$B$3)</f>
        <v>15.125</v>
      </c>
    </row>
    <row r="26" spans="1:8" s="7" customFormat="1" ht="24" customHeight="1" x14ac:dyDescent="0.3">
      <c r="A26" s="12" t="str">
        <v>W20</v>
      </c>
      <c r="B26" s="19">
        <f>SUMIF(Link!$E$2:$E$521,Summary!A26,Link!$F$2:$F$521)</f>
        <v>14.847</v>
      </c>
      <c r="C26" s="19">
        <f>IF(Operations!$G$3=0,$B$1/$B$3,($B$1+Operations!$F$3)/$B$3)</f>
        <v>15.125</v>
      </c>
      <c r="D26" s="15" t="str" cm="1">
        <f t="array" ref="D26">IF(A26&lt;&gt;0,_xlfn.TEXTJOIN(", ",TRUE,_xlfn._xlws.FILTER(Link!$H$2:$H$521,(Link!$E$2:$E$521=Summary!A26)*(Link!$F$2:$F$521&gt;0))),0)</f>
        <v>Khóa lai tay dài: 121</v>
      </c>
      <c r="E26" s="13" t="str">
        <f t="shared" si="0"/>
        <v>Bậc 2/Bậc 3</v>
      </c>
      <c r="F26" s="13"/>
      <c r="G26" s="14"/>
      <c r="H26" s="19">
        <f>IF(Operations!$G$3=0,$B$1/$B$3,($B$1+Operations!$F$3)/$B$3)</f>
        <v>15.125</v>
      </c>
    </row>
    <row r="27" spans="1:8" s="7" customFormat="1" ht="24" customHeight="1" x14ac:dyDescent="0.3">
      <c r="A27" s="12" t="str">
        <v>W21</v>
      </c>
      <c r="B27" s="19">
        <f>SUMIF(Link!$E$2:$E$521,Summary!A27,Link!$F$2:$F$521)</f>
        <v>14.847</v>
      </c>
      <c r="C27" s="19">
        <f>IF(Operations!$G$3=0,$B$1/$B$3,($B$1+Operations!$F$3)/$B$3)</f>
        <v>15.125</v>
      </c>
      <c r="D27" s="15" t="str" cm="1">
        <f t="array" ref="D27">IF(A27&lt;&gt;0,_xlfn.TEXTJOIN(", ",TRUE,_xlfn._xlws.FILTER(Link!$H$2:$H$521,(Link!$E$2:$E$521=Summary!A27)*(Link!$F$2:$F$521&gt;0))),0)</f>
        <v>Khóa lai tay dài: 121</v>
      </c>
      <c r="E27" s="13" t="str">
        <f t="shared" si="0"/>
        <v>Bậc 2/Bậc 3</v>
      </c>
      <c r="F27" s="13"/>
      <c r="G27" s="14"/>
      <c r="H27" s="19">
        <f>IF(Operations!$G$3=0,$B$1/$B$3,($B$1+Operations!$F$3)/$B$3)</f>
        <v>15.125</v>
      </c>
    </row>
    <row r="28" spans="1:8" s="7" customFormat="1" ht="24" customHeight="1" x14ac:dyDescent="0.3">
      <c r="A28" s="12" t="str">
        <v>W22</v>
      </c>
      <c r="B28" s="19">
        <f>SUMIF(Link!$E$2:$E$521,Summary!A28,Link!$F$2:$F$521)</f>
        <v>12.144</v>
      </c>
      <c r="C28" s="19">
        <f>IF(Operations!$G$3=0,$B$1/$B$3,($B$1+Operations!$F$3)/$B$3)</f>
        <v>15.125</v>
      </c>
      <c r="D28" s="15" t="str" cm="1">
        <f t="array" ref="D28">IF(A28&lt;&gt;0,_xlfn.TEXTJOIN(", ",TRUE,_xlfn._xlws.FILTER(Link!$H$2:$H$521,(Link!$E$2:$E$521=Summary!A28)*(Link!$F$2:$F$521&gt;0))),0)</f>
        <v>Khóa lai áo tròn: 296</v>
      </c>
      <c r="E28" s="13" t="str">
        <f t="shared" si="0"/>
        <v>Bậc 2/Bậc 3</v>
      </c>
      <c r="F28" s="13"/>
      <c r="G28" s="14"/>
      <c r="H28" s="19">
        <f>IF(Operations!$G$3=0,$B$1/$B$3,($B$1+Operations!$F$3)/$B$3)</f>
        <v>15.125</v>
      </c>
    </row>
    <row r="29" spans="1:8" s="7" customFormat="1" ht="24" customHeight="1" x14ac:dyDescent="0.3">
      <c r="A29" s="12" t="str">
        <v>W23</v>
      </c>
      <c r="B29" s="19">
        <f>SUMIF(Link!$E$2:$E$521,Summary!A29,Link!$F$2:$F$521)</f>
        <v>15.048000000000002</v>
      </c>
      <c r="C29" s="19">
        <f>IF(Operations!$G$3=0,$B$1/$B$3,($B$1+Operations!$F$3)/$B$3)</f>
        <v>15.125</v>
      </c>
      <c r="D29" s="15" t="str" cm="1">
        <f t="array" ref="D29">IF(A29&lt;&gt;0,_xlfn.TEXTJOIN(", ",TRUE,_xlfn._xlws.FILTER(Link!$H$2:$H$521,(Link!$E$2:$E$521=Summary!A29)*(Link!$F$2:$F$521&gt;0))),0)</f>
        <v>May lai áo tròn: 120</v>
      </c>
      <c r="E29" s="13" t="str">
        <f t="shared" si="0"/>
        <v>Bậc 2/Bậc 3</v>
      </c>
      <c r="F29" s="13"/>
      <c r="G29" s="14"/>
      <c r="H29" s="19">
        <f>IF(Operations!$G$3=0,$B$1/$B$3,($B$1+Operations!$F$3)/$B$3)</f>
        <v>15.125</v>
      </c>
    </row>
    <row r="30" spans="1:8" s="7" customFormat="1" ht="24" customHeight="1" x14ac:dyDescent="0.3">
      <c r="A30" s="12" t="str">
        <v>W24</v>
      </c>
      <c r="B30" s="19">
        <f>SUMIF(Link!$E$2:$E$521,Summary!A30,Link!$F$2:$F$521)</f>
        <v>15.048000000000002</v>
      </c>
      <c r="C30" s="19">
        <f>IF(Operations!$G$3=0,$B$1/$B$3,($B$1+Operations!$F$3)/$B$3)</f>
        <v>15.125</v>
      </c>
      <c r="D30" s="15" t="str" cm="1">
        <f t="array" ref="D30">IF(A30&lt;&gt;0,_xlfn.TEXTJOIN(", ",TRUE,_xlfn._xlws.FILTER(Link!$H$2:$H$521,(Link!$E$2:$E$521=Summary!A30)*(Link!$F$2:$F$521&gt;0))),0)</f>
        <v>May lai áo tròn: 120</v>
      </c>
      <c r="E30" s="13" t="str">
        <f t="shared" si="0"/>
        <v>Bậc 2/Bậc 3</v>
      </c>
      <c r="F30" s="13"/>
      <c r="G30" s="14"/>
      <c r="H30" s="19">
        <f>IF(Operations!$G$3=0,$B$1/$B$3,($B$1+Operations!$F$3)/$B$3)</f>
        <v>15.125</v>
      </c>
    </row>
    <row r="31" spans="1:8" s="7" customFormat="1" ht="24" customHeight="1" x14ac:dyDescent="0.3">
      <c r="A31" s="12"/>
      <c r="B31" s="19">
        <f>SUMIF(Link!$E$2:$E$521,Summary!A31,Link!$F$2:$F$521)</f>
        <v>0</v>
      </c>
      <c r="C31" s="19">
        <f>IF(Operations!$G$3=0,$B$1/$B$3,($B$1+Operations!$F$3)/$B$3)</f>
        <v>15.125</v>
      </c>
      <c r="D31" s="15" cm="1">
        <f t="array" ref="D31">IF(A31&lt;&gt;0,_xlfn.TEXTJOIN(", ",TRUE,_xlfn._xlws.FILTER(Link!$H$2:$H$521,(Link!$E$2:$E$521=Summary!A31)*(Link!$F$2:$F$521&gt;0))),0)</f>
        <v>0</v>
      </c>
      <c r="E31" s="13">
        <f t="shared" si="0"/>
        <v>0</v>
      </c>
      <c r="F31" s="13"/>
      <c r="G31" s="14"/>
      <c r="H31" s="19">
        <f>IF(Operations!$G$3=0,$B$1/$B$3,($B$1+Operations!$F$3)/$B$3)</f>
        <v>15.125</v>
      </c>
    </row>
    <row r="32" spans="1:8" s="7" customFormat="1" ht="24" customHeight="1" x14ac:dyDescent="0.3">
      <c r="A32" s="12"/>
      <c r="B32" s="19">
        <f>SUMIF(Link!$E$2:$E$521,Summary!A32,Link!$F$2:$F$521)</f>
        <v>0</v>
      </c>
      <c r="C32" s="19">
        <f>IF(Operations!$G$3=0,$B$1/$B$3,($B$1+Operations!$F$3)/$B$3)</f>
        <v>15.125</v>
      </c>
      <c r="D32" s="15" cm="1">
        <f t="array" ref="D32">IF(A32&lt;&gt;0,_xlfn.TEXTJOIN(", ",TRUE,_xlfn._xlws.FILTER(Link!$H$2:$H$521,(Link!$E$2:$E$521=Summary!A32)*(Link!$F$2:$F$521&gt;0))),0)</f>
        <v>0</v>
      </c>
      <c r="E32" s="13">
        <f t="shared" si="0"/>
        <v>0</v>
      </c>
      <c r="F32" s="13"/>
      <c r="G32" s="14"/>
      <c r="H32" s="19">
        <f>IF(Operations!$G$3=0,$B$1/$B$3,($B$1+Operations!$F$3)/$B$3)</f>
        <v>15.125</v>
      </c>
    </row>
    <row r="33" spans="1:8" s="7" customFormat="1" ht="24" customHeight="1" x14ac:dyDescent="0.3">
      <c r="A33" s="12"/>
      <c r="B33" s="19">
        <f>SUMIF(Link!$E$2:$E$521,Summary!A33,Link!$F$2:$F$521)</f>
        <v>0</v>
      </c>
      <c r="C33" s="19">
        <f>IF(Operations!$G$3=0,$B$1/$B$3,($B$1+Operations!$F$3)/$B$3)</f>
        <v>15.125</v>
      </c>
      <c r="D33" s="15" cm="1">
        <f t="array" ref="D33">IF(A33&lt;&gt;0,_xlfn.TEXTJOIN(", ",TRUE,_xlfn._xlws.FILTER(Link!$H$2:$H$521,(Link!$E$2:$E$521=Summary!A33)*(Link!$F$2:$F$521&gt;0))),0)</f>
        <v>0</v>
      </c>
      <c r="E33" s="13">
        <f t="shared" si="0"/>
        <v>0</v>
      </c>
      <c r="F33" s="13"/>
      <c r="G33" s="14"/>
      <c r="H33" s="19">
        <f>IF(Operations!$G$3=0,$B$1/$B$3,($B$1+Operations!$F$3)/$B$3)</f>
        <v>15.125</v>
      </c>
    </row>
    <row r="34" spans="1:8" s="7" customFormat="1" ht="24" customHeight="1" x14ac:dyDescent="0.3">
      <c r="A34" s="12"/>
      <c r="B34" s="19">
        <f>SUMIF(Link!$E$2:$E$521,Summary!A34,Link!$F$2:$F$521)</f>
        <v>0</v>
      </c>
      <c r="C34" s="19">
        <f>IF(Operations!$G$3=0,$B$1/$B$3,($B$1+Operations!$F$3)/$B$3)</f>
        <v>15.125</v>
      </c>
      <c r="D34" s="15" cm="1">
        <f t="array" ref="D34">IF(A34&lt;&gt;0,_xlfn.TEXTJOIN(", ",TRUE,_xlfn._xlws.FILTER(Link!$H$2:$H$521,(Link!$E$2:$E$521=Summary!A34)*(Link!$F$2:$F$521&gt;0))),0)</f>
        <v>0</v>
      </c>
      <c r="E34" s="13">
        <f t="shared" si="0"/>
        <v>0</v>
      </c>
      <c r="F34" s="13"/>
      <c r="G34" s="14"/>
      <c r="H34" s="19">
        <f>IF(Operations!$G$3=0,$B$1/$B$3,($B$1+Operations!$F$3)/$B$3)</f>
        <v>15.125</v>
      </c>
    </row>
    <row r="35" spans="1:8" s="7" customFormat="1" ht="24" customHeight="1" x14ac:dyDescent="0.3">
      <c r="A35" s="12"/>
      <c r="B35" s="19">
        <f>SUMIF(Link!$E$2:$E$521,Summary!A35,Link!$F$2:$F$521)</f>
        <v>0</v>
      </c>
      <c r="C35" s="19">
        <f>IF(Operations!$G$3=0,$B$1/$B$3,($B$1+Operations!$F$3)/$B$3)</f>
        <v>15.125</v>
      </c>
      <c r="D35" s="15" cm="1">
        <f t="array" ref="D35">IF(A35&lt;&gt;0,_xlfn.TEXTJOIN(", ",TRUE,_xlfn._xlws.FILTER(Link!$H$2:$H$521,(Link!$E$2:$E$521=Summary!A35)*(Link!$F$2:$F$521&gt;0))),0)</f>
        <v>0</v>
      </c>
      <c r="E35" s="13">
        <f t="shared" si="0"/>
        <v>0</v>
      </c>
      <c r="F35" s="13"/>
      <c r="G35" s="14"/>
      <c r="H35" s="19">
        <f>IF(Operations!$G$3=0,$B$1/$B$3,($B$1+Operations!$F$3)/$B$3)</f>
        <v>15.125</v>
      </c>
    </row>
    <row r="36" spans="1:8" s="7" customFormat="1" ht="24" customHeight="1" x14ac:dyDescent="0.3">
      <c r="A36" s="12"/>
      <c r="B36" s="19">
        <f>SUMIF(Link!$E$2:$E$521,Summary!A36,Link!$F$2:$F$521)</f>
        <v>0</v>
      </c>
      <c r="C36" s="19">
        <f>IF(Operations!$G$3=0,$B$1/$B$3,($B$1+Operations!$F$3)/$B$3)</f>
        <v>15.125</v>
      </c>
      <c r="D36" s="15" cm="1">
        <f t="array" ref="D36">IF(A36&lt;&gt;0,_xlfn.TEXTJOIN(", ",TRUE,_xlfn._xlws.FILTER(Link!$H$2:$H$521,(Link!$E$2:$E$521=Summary!A36)*(Link!$F$2:$F$521&gt;0))),0)</f>
        <v>0</v>
      </c>
      <c r="E36" s="13">
        <f t="shared" si="0"/>
        <v>0</v>
      </c>
      <c r="F36" s="12"/>
      <c r="G36" s="12"/>
      <c r="H36" s="19">
        <f>IF(Operations!$G$3=0,$B$1/$B$3,($B$1+Operations!$F$3)/$B$3)</f>
        <v>15.125</v>
      </c>
    </row>
  </sheetData>
  <phoneticPr fontId="2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306FB6A-3AB6-45D6-B460-41F9B800CABB}">
          <x14:formula1>
            <xm:f>'Data Validation'!$A$1:$A$4</xm:f>
          </x14:formula1>
          <xm:sqref>E3</xm:sqref>
        </x14:dataValidation>
        <x14:dataValidation type="list" allowBlank="1" showInputMessage="1" showErrorMessage="1" xr:uid="{DD053C9F-A3AF-4D4A-BF88-366F001F271F}">
          <x14:formula1>
            <xm:f>'Data Validation'!$B$1:$B$29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7BF0-5FCC-42DD-9E54-A81653D393B9}">
  <dimension ref="A1:O13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0" sqref="J10"/>
    </sheetView>
  </sheetViews>
  <sheetFormatPr defaultRowHeight="14.4" x14ac:dyDescent="0.3"/>
  <cols>
    <col min="1" max="1" width="11.5546875" style="2" customWidth="1"/>
    <col min="2" max="2" width="8.5546875" style="2" customWidth="1"/>
    <col min="3" max="3" width="37.33203125" style="2" customWidth="1"/>
    <col min="4" max="4" width="11.88671875" style="2" customWidth="1"/>
    <col min="5" max="5" width="9.109375" style="2" customWidth="1"/>
    <col min="6" max="6" width="10.44140625" style="2" customWidth="1"/>
    <col min="7" max="7" width="11.6640625" customWidth="1"/>
    <col min="8" max="8" width="11" style="2" customWidth="1"/>
    <col min="9" max="9" width="10.33203125" style="2" customWidth="1"/>
    <col min="10" max="10" width="10.44140625" style="2" customWidth="1"/>
    <col min="11" max="11" width="10.88671875" style="2" customWidth="1"/>
    <col min="12" max="12" width="11" style="2" customWidth="1"/>
    <col min="13" max="13" width="10.33203125" style="2" customWidth="1"/>
    <col min="14" max="14" width="10.44140625" style="2" customWidth="1"/>
    <col min="15" max="15" width="10.88671875" style="2" customWidth="1"/>
  </cols>
  <sheetData>
    <row r="1" spans="1:15" x14ac:dyDescent="0.3">
      <c r="A1" s="5" t="s">
        <v>139</v>
      </c>
      <c r="B1" s="6">
        <f>Summary!$H$7</f>
        <v>15.125</v>
      </c>
      <c r="H1" s="30" t="s">
        <v>159</v>
      </c>
      <c r="I1" s="30"/>
      <c r="J1" s="30"/>
      <c r="K1" s="30"/>
      <c r="L1" s="30" t="s">
        <v>160</v>
      </c>
      <c r="M1" s="30"/>
      <c r="N1" s="30"/>
      <c r="O1" s="30"/>
    </row>
    <row r="2" spans="1:15" x14ac:dyDescent="0.3">
      <c r="A2" s="3" t="s">
        <v>2</v>
      </c>
      <c r="B2" s="3" t="s">
        <v>5</v>
      </c>
      <c r="C2" s="3" t="s">
        <v>7</v>
      </c>
      <c r="D2" s="3" t="s">
        <v>3</v>
      </c>
      <c r="E2" s="3" t="s">
        <v>6</v>
      </c>
      <c r="F2" s="3" t="s">
        <v>4</v>
      </c>
      <c r="G2" s="3" t="s">
        <v>138</v>
      </c>
      <c r="H2" s="9" t="s">
        <v>149</v>
      </c>
      <c r="I2" s="9" t="s">
        <v>150</v>
      </c>
      <c r="J2" s="9" t="s">
        <v>151</v>
      </c>
      <c r="K2" s="9" t="s">
        <v>152</v>
      </c>
      <c r="L2" s="21" t="s">
        <v>149</v>
      </c>
      <c r="M2" s="21" t="s">
        <v>150</v>
      </c>
      <c r="N2" s="21" t="s">
        <v>151</v>
      </c>
      <c r="O2" s="21" t="s">
        <v>152</v>
      </c>
    </row>
    <row r="3" spans="1:15" x14ac:dyDescent="0.3">
      <c r="A3" s="1" t="s">
        <v>9</v>
      </c>
      <c r="B3" s="1"/>
      <c r="C3" s="4" t="s">
        <v>148</v>
      </c>
      <c r="D3" s="4"/>
      <c r="E3" s="4"/>
      <c r="F3" s="4">
        <v>20</v>
      </c>
      <c r="G3" s="4">
        <f>COUNTA(H3:K3)</f>
        <v>2</v>
      </c>
      <c r="H3" s="1" t="s">
        <v>182</v>
      </c>
      <c r="I3" s="1" t="s">
        <v>183</v>
      </c>
      <c r="J3" s="1"/>
      <c r="K3" s="1"/>
      <c r="L3" s="27">
        <f>15/20</f>
        <v>0.75</v>
      </c>
      <c r="M3" s="27">
        <v>0.25</v>
      </c>
      <c r="N3" s="27">
        <v>0</v>
      </c>
      <c r="O3" s="27">
        <v>0</v>
      </c>
    </row>
    <row r="4" spans="1:15" x14ac:dyDescent="0.3">
      <c r="A4" s="1" t="s">
        <v>8</v>
      </c>
      <c r="B4" s="1">
        <v>15</v>
      </c>
      <c r="C4" s="1" t="s">
        <v>162</v>
      </c>
      <c r="D4" s="1" t="s">
        <v>177</v>
      </c>
      <c r="E4" s="1" t="s">
        <v>178</v>
      </c>
      <c r="F4" s="1">
        <v>12.144</v>
      </c>
      <c r="G4" s="1">
        <f t="shared" ref="G4:G67" si="0">COUNTA(H4:K4)</f>
        <v>1</v>
      </c>
      <c r="H4" s="1" t="s">
        <v>205</v>
      </c>
      <c r="I4" s="1"/>
      <c r="J4" s="1"/>
      <c r="K4" s="1"/>
      <c r="L4" s="27">
        <f t="shared" ref="L4:O35" si="1">1/$G4</f>
        <v>1</v>
      </c>
      <c r="M4" s="27">
        <f t="shared" ref="M4:O18" si="2">1/$G4</f>
        <v>1</v>
      </c>
      <c r="N4" s="27">
        <f t="shared" si="2"/>
        <v>1</v>
      </c>
      <c r="O4" s="27">
        <f t="shared" si="2"/>
        <v>1</v>
      </c>
    </row>
    <row r="5" spans="1:15" x14ac:dyDescent="0.3">
      <c r="A5" s="1" t="s">
        <v>10</v>
      </c>
      <c r="B5" s="1">
        <v>14</v>
      </c>
      <c r="C5" s="1" t="s">
        <v>163</v>
      </c>
      <c r="D5" s="1" t="s">
        <v>179</v>
      </c>
      <c r="E5" s="1" t="s">
        <v>180</v>
      </c>
      <c r="F5" s="1">
        <v>30.096000000000004</v>
      </c>
      <c r="G5" s="1">
        <f t="shared" si="0"/>
        <v>2</v>
      </c>
      <c r="H5" s="1" t="s">
        <v>203</v>
      </c>
      <c r="I5" s="1" t="s">
        <v>204</v>
      </c>
      <c r="J5" s="1"/>
      <c r="K5" s="1"/>
      <c r="L5" s="27">
        <f t="shared" si="1"/>
        <v>0.5</v>
      </c>
      <c r="M5" s="27">
        <f t="shared" si="2"/>
        <v>0.5</v>
      </c>
      <c r="N5" s="27">
        <f t="shared" si="2"/>
        <v>0.5</v>
      </c>
      <c r="O5" s="27">
        <f t="shared" si="2"/>
        <v>0.5</v>
      </c>
    </row>
    <row r="6" spans="1:15" x14ac:dyDescent="0.3">
      <c r="A6" s="1" t="s">
        <v>11</v>
      </c>
      <c r="B6" s="1">
        <v>13</v>
      </c>
      <c r="C6" s="1" t="s">
        <v>164</v>
      </c>
      <c r="D6" s="1" t="s">
        <v>181</v>
      </c>
      <c r="E6" s="1" t="s">
        <v>180</v>
      </c>
      <c r="F6" s="1">
        <v>29.693999999999999</v>
      </c>
      <c r="G6" s="1">
        <f t="shared" si="0"/>
        <v>2</v>
      </c>
      <c r="H6" s="1" t="s">
        <v>201</v>
      </c>
      <c r="I6" s="1" t="s">
        <v>202</v>
      </c>
      <c r="J6" s="1"/>
      <c r="K6" s="1"/>
      <c r="L6" s="27">
        <f t="shared" si="1"/>
        <v>0.5</v>
      </c>
      <c r="M6" s="27">
        <f t="shared" si="2"/>
        <v>0.5</v>
      </c>
      <c r="N6" s="27">
        <f t="shared" si="2"/>
        <v>0.5</v>
      </c>
      <c r="O6" s="27">
        <f t="shared" si="2"/>
        <v>0.5</v>
      </c>
    </row>
    <row r="7" spans="1:15" x14ac:dyDescent="0.3">
      <c r="A7" s="1" t="s">
        <v>12</v>
      </c>
      <c r="B7" s="1">
        <v>12</v>
      </c>
      <c r="C7" s="1" t="s">
        <v>165</v>
      </c>
      <c r="D7" s="1" t="s">
        <v>181</v>
      </c>
      <c r="E7" s="1" t="s">
        <v>180</v>
      </c>
      <c r="F7" s="1">
        <v>43.224000000000004</v>
      </c>
      <c r="G7" s="1">
        <f t="shared" si="0"/>
        <v>3</v>
      </c>
      <c r="H7" s="1" t="s">
        <v>198</v>
      </c>
      <c r="I7" s="1" t="s">
        <v>199</v>
      </c>
      <c r="J7" s="1" t="s">
        <v>200</v>
      </c>
      <c r="K7" s="1"/>
      <c r="L7" s="27">
        <f t="shared" si="1"/>
        <v>0.33333333333333331</v>
      </c>
      <c r="M7" s="27">
        <f t="shared" si="2"/>
        <v>0.33333333333333331</v>
      </c>
      <c r="N7" s="27">
        <f t="shared" si="2"/>
        <v>0.33333333333333331</v>
      </c>
      <c r="O7" s="27">
        <f t="shared" si="2"/>
        <v>0.33333333333333331</v>
      </c>
    </row>
    <row r="8" spans="1:15" x14ac:dyDescent="0.3">
      <c r="A8" s="1" t="s">
        <v>13</v>
      </c>
      <c r="B8" s="1">
        <v>11</v>
      </c>
      <c r="C8" s="1" t="s">
        <v>166</v>
      </c>
      <c r="D8" s="1" t="s">
        <v>177</v>
      </c>
      <c r="E8" s="1" t="s">
        <v>178</v>
      </c>
      <c r="F8" s="1">
        <v>10.032</v>
      </c>
      <c r="G8" s="1">
        <f t="shared" si="0"/>
        <v>1</v>
      </c>
      <c r="H8" s="1" t="s">
        <v>197</v>
      </c>
      <c r="I8" s="1"/>
      <c r="J8" s="1"/>
      <c r="K8" s="1"/>
      <c r="L8" s="27">
        <f t="shared" si="1"/>
        <v>1</v>
      </c>
      <c r="M8" s="27">
        <f t="shared" si="2"/>
        <v>1</v>
      </c>
      <c r="N8" s="27">
        <f t="shared" si="2"/>
        <v>1</v>
      </c>
      <c r="O8" s="27">
        <f t="shared" si="2"/>
        <v>1</v>
      </c>
    </row>
    <row r="9" spans="1:15" x14ac:dyDescent="0.3">
      <c r="A9" s="1" t="s">
        <v>14</v>
      </c>
      <c r="B9" s="1">
        <v>10</v>
      </c>
      <c r="C9" s="1" t="s">
        <v>167</v>
      </c>
      <c r="D9" s="1" t="s">
        <v>181</v>
      </c>
      <c r="E9" s="1" t="s">
        <v>180</v>
      </c>
      <c r="F9" s="1">
        <v>38.045999999999999</v>
      </c>
      <c r="G9" s="1">
        <f t="shared" si="0"/>
        <v>3</v>
      </c>
      <c r="H9" s="1" t="s">
        <v>195</v>
      </c>
      <c r="I9" s="1" t="s">
        <v>196</v>
      </c>
      <c r="J9" s="23" t="s">
        <v>197</v>
      </c>
      <c r="K9" s="1"/>
      <c r="L9" s="27">
        <f>16.5/F9</f>
        <v>0.43368553855858699</v>
      </c>
      <c r="M9" s="27">
        <f>16.5/F9</f>
        <v>0.43368553855858699</v>
      </c>
      <c r="N9" s="27">
        <f>1-L9-M9</f>
        <v>0.13262892288282607</v>
      </c>
      <c r="O9" s="27">
        <v>0</v>
      </c>
    </row>
    <row r="10" spans="1:15" x14ac:dyDescent="0.3">
      <c r="A10" s="1" t="s">
        <v>15</v>
      </c>
      <c r="B10" s="1">
        <v>9</v>
      </c>
      <c r="C10" s="1" t="s">
        <v>168</v>
      </c>
      <c r="D10" s="1" t="s">
        <v>177</v>
      </c>
      <c r="E10" s="1" t="s">
        <v>180</v>
      </c>
      <c r="F10" s="1">
        <v>20.616</v>
      </c>
      <c r="G10" s="1">
        <f t="shared" si="0"/>
        <v>2</v>
      </c>
      <c r="H10" s="1" t="s">
        <v>194</v>
      </c>
      <c r="I10" s="25" t="s">
        <v>186</v>
      </c>
      <c r="J10" s="1"/>
      <c r="K10" s="1"/>
      <c r="L10" s="27">
        <f>15/F10</f>
        <v>0.72759022118742722</v>
      </c>
      <c r="M10" s="27">
        <f>1-L10</f>
        <v>0.27240977881257278</v>
      </c>
      <c r="N10" s="27">
        <v>0</v>
      </c>
      <c r="O10" s="27">
        <v>0</v>
      </c>
    </row>
    <row r="11" spans="1:15" x14ac:dyDescent="0.3">
      <c r="A11" s="1" t="s">
        <v>16</v>
      </c>
      <c r="B11" s="1">
        <v>8</v>
      </c>
      <c r="C11" s="1" t="s">
        <v>169</v>
      </c>
      <c r="D11" s="1" t="s">
        <v>177</v>
      </c>
      <c r="E11" s="1" t="s">
        <v>180</v>
      </c>
      <c r="F11" s="1">
        <v>25.392000000000003</v>
      </c>
      <c r="G11" s="1">
        <f t="shared" si="0"/>
        <v>2</v>
      </c>
      <c r="H11" s="1" t="s">
        <v>192</v>
      </c>
      <c r="I11" s="23" t="s">
        <v>193</v>
      </c>
      <c r="J11" s="1"/>
      <c r="K11" s="1"/>
      <c r="L11" s="27">
        <f>16.7/F11</f>
        <v>0.65768746061751726</v>
      </c>
      <c r="M11" s="27">
        <f>1-L11</f>
        <v>0.34231253938248274</v>
      </c>
      <c r="N11" s="27">
        <v>0</v>
      </c>
      <c r="O11" s="27">
        <v>0</v>
      </c>
    </row>
    <row r="12" spans="1:15" x14ac:dyDescent="0.3">
      <c r="A12" s="1" t="s">
        <v>17</v>
      </c>
      <c r="B12" s="1">
        <v>7</v>
      </c>
      <c r="C12" s="1" t="s">
        <v>170</v>
      </c>
      <c r="D12" s="1" t="s">
        <v>177</v>
      </c>
      <c r="E12" s="1" t="s">
        <v>180</v>
      </c>
      <c r="F12" s="1">
        <v>24.99</v>
      </c>
      <c r="G12" s="1">
        <f t="shared" si="0"/>
        <v>2</v>
      </c>
      <c r="H12" s="1" t="s">
        <v>191</v>
      </c>
      <c r="I12" s="23" t="s">
        <v>193</v>
      </c>
      <c r="J12" s="1"/>
      <c r="K12" s="1"/>
      <c r="L12" s="27">
        <f>16.7/F12</f>
        <v>0.66826730692276914</v>
      </c>
      <c r="M12" s="27">
        <f>1-L12</f>
        <v>0.33173269307723086</v>
      </c>
      <c r="N12" s="27">
        <v>0</v>
      </c>
      <c r="O12" s="27">
        <v>0</v>
      </c>
    </row>
    <row r="13" spans="1:15" x14ac:dyDescent="0.3">
      <c r="A13" s="1" t="s">
        <v>18</v>
      </c>
      <c r="B13" s="1">
        <v>6</v>
      </c>
      <c r="C13" s="1" t="s">
        <v>171</v>
      </c>
      <c r="D13" s="1" t="s">
        <v>177</v>
      </c>
      <c r="E13" s="1" t="s">
        <v>180</v>
      </c>
      <c r="F13" s="1">
        <v>15.18</v>
      </c>
      <c r="G13" s="1">
        <f t="shared" si="0"/>
        <v>1</v>
      </c>
      <c r="H13" s="1" t="s">
        <v>190</v>
      </c>
      <c r="I13" s="1"/>
      <c r="J13" s="1"/>
      <c r="K13" s="1"/>
      <c r="L13" s="27">
        <f t="shared" si="1"/>
        <v>1</v>
      </c>
      <c r="M13" s="27">
        <f t="shared" si="2"/>
        <v>1</v>
      </c>
      <c r="N13" s="27">
        <f t="shared" si="2"/>
        <v>1</v>
      </c>
      <c r="O13" s="27">
        <f t="shared" si="2"/>
        <v>1</v>
      </c>
    </row>
    <row r="14" spans="1:15" x14ac:dyDescent="0.3">
      <c r="A14" s="1" t="s">
        <v>19</v>
      </c>
      <c r="B14" s="1">
        <v>5</v>
      </c>
      <c r="C14" s="1" t="s">
        <v>172</v>
      </c>
      <c r="D14" s="1" t="s">
        <v>181</v>
      </c>
      <c r="E14" s="1" t="s">
        <v>180</v>
      </c>
      <c r="F14" s="1">
        <v>24.972000000000001</v>
      </c>
      <c r="G14" s="1">
        <f t="shared" si="0"/>
        <v>2</v>
      </c>
      <c r="H14" s="1" t="s">
        <v>188</v>
      </c>
      <c r="I14" s="23" t="s">
        <v>189</v>
      </c>
      <c r="J14" s="1"/>
      <c r="K14" s="1"/>
      <c r="L14" s="27">
        <f>16/F14</f>
        <v>0.64071760371616204</v>
      </c>
      <c r="M14" s="27">
        <f>1-L14</f>
        <v>0.35928239628383796</v>
      </c>
      <c r="N14" s="27">
        <v>0</v>
      </c>
      <c r="O14" s="27">
        <v>0</v>
      </c>
    </row>
    <row r="15" spans="1:15" x14ac:dyDescent="0.3">
      <c r="A15" s="1" t="s">
        <v>20</v>
      </c>
      <c r="B15" s="1">
        <v>4</v>
      </c>
      <c r="C15" s="1" t="s">
        <v>173</v>
      </c>
      <c r="D15" s="1" t="s">
        <v>181</v>
      </c>
      <c r="E15" s="1" t="s">
        <v>180</v>
      </c>
      <c r="F15" s="1">
        <v>22.038</v>
      </c>
      <c r="G15" s="1">
        <f t="shared" si="0"/>
        <v>2</v>
      </c>
      <c r="H15" s="1" t="s">
        <v>187</v>
      </c>
      <c r="I15" s="23" t="s">
        <v>189</v>
      </c>
      <c r="J15" s="1"/>
      <c r="K15" s="1"/>
      <c r="L15" s="27">
        <f>16/F15</f>
        <v>0.72601869498139582</v>
      </c>
      <c r="M15" s="27">
        <f>1-L15</f>
        <v>0.27398130501860418</v>
      </c>
      <c r="N15" s="27">
        <v>0</v>
      </c>
      <c r="O15" s="27">
        <v>0</v>
      </c>
    </row>
    <row r="16" spans="1:15" x14ac:dyDescent="0.3">
      <c r="A16" s="1" t="s">
        <v>21</v>
      </c>
      <c r="B16" s="1">
        <v>3</v>
      </c>
      <c r="C16" s="1" t="s">
        <v>174</v>
      </c>
      <c r="D16" s="1" t="s">
        <v>179</v>
      </c>
      <c r="E16" s="1" t="s">
        <v>180</v>
      </c>
      <c r="F16" s="1">
        <v>22.212</v>
      </c>
      <c r="G16" s="1">
        <f t="shared" si="0"/>
        <v>2</v>
      </c>
      <c r="H16" s="1" t="s">
        <v>185</v>
      </c>
      <c r="I16" s="25" t="s">
        <v>186</v>
      </c>
      <c r="J16" s="1"/>
      <c r="K16" s="1"/>
      <c r="L16" s="27">
        <f>15/22</f>
        <v>0.68181818181818177</v>
      </c>
      <c r="M16" s="27">
        <f>1-L16</f>
        <v>0.31818181818181823</v>
      </c>
      <c r="N16" s="27">
        <v>0</v>
      </c>
      <c r="O16" s="27">
        <v>0</v>
      </c>
    </row>
    <row r="17" spans="1:15" x14ac:dyDescent="0.3">
      <c r="A17" s="1" t="s">
        <v>22</v>
      </c>
      <c r="B17" s="1">
        <v>2</v>
      </c>
      <c r="C17" s="1" t="s">
        <v>175</v>
      </c>
      <c r="D17" s="1" t="s">
        <v>177</v>
      </c>
      <c r="E17" s="1" t="s">
        <v>180</v>
      </c>
      <c r="F17" s="1">
        <v>15.797999999999998</v>
      </c>
      <c r="G17" s="1">
        <f t="shared" si="0"/>
        <v>1</v>
      </c>
      <c r="H17" s="1" t="s">
        <v>184</v>
      </c>
      <c r="I17" s="1"/>
      <c r="J17" s="1"/>
      <c r="K17" s="1"/>
      <c r="L17" s="27">
        <f t="shared" si="1"/>
        <v>1</v>
      </c>
      <c r="M17" s="27">
        <f t="shared" si="2"/>
        <v>1</v>
      </c>
      <c r="N17" s="27">
        <f t="shared" si="2"/>
        <v>1</v>
      </c>
      <c r="O17" s="27">
        <f t="shared" si="2"/>
        <v>1</v>
      </c>
    </row>
    <row r="18" spans="1:15" x14ac:dyDescent="0.3">
      <c r="A18" s="1" t="s">
        <v>23</v>
      </c>
      <c r="B18" s="1">
        <v>1</v>
      </c>
      <c r="C18" s="1" t="s">
        <v>176</v>
      </c>
      <c r="D18" s="1" t="s">
        <v>177</v>
      </c>
      <c r="E18" s="1" t="s">
        <v>178</v>
      </c>
      <c r="F18" s="1">
        <v>8.766</v>
      </c>
      <c r="G18" s="1">
        <f t="shared" si="0"/>
        <v>1</v>
      </c>
      <c r="H18" s="1" t="s">
        <v>183</v>
      </c>
      <c r="I18" s="1"/>
      <c r="J18" s="1"/>
      <c r="K18" s="1"/>
      <c r="L18" s="27">
        <f t="shared" si="1"/>
        <v>1</v>
      </c>
      <c r="M18" s="27">
        <f t="shared" si="2"/>
        <v>1</v>
      </c>
      <c r="N18" s="27">
        <f t="shared" si="2"/>
        <v>1</v>
      </c>
      <c r="O18" s="27">
        <f t="shared" si="2"/>
        <v>1</v>
      </c>
    </row>
    <row r="19" spans="1:15" x14ac:dyDescent="0.3">
      <c r="A19" s="1" t="s">
        <v>24</v>
      </c>
      <c r="B19" s="1"/>
      <c r="C19" s="1"/>
      <c r="D19" s="1"/>
      <c r="E19" s="1"/>
      <c r="F19" s="1"/>
      <c r="G19" s="1">
        <f t="shared" si="0"/>
        <v>0</v>
      </c>
      <c r="H19" s="1"/>
      <c r="I19" s="1"/>
      <c r="J19" s="1"/>
      <c r="K19" s="1"/>
      <c r="L19" s="27" t="e">
        <f t="shared" si="1"/>
        <v>#DIV/0!</v>
      </c>
      <c r="M19" s="27" t="e">
        <f t="shared" si="1"/>
        <v>#DIV/0!</v>
      </c>
      <c r="N19" s="27" t="e">
        <f t="shared" si="1"/>
        <v>#DIV/0!</v>
      </c>
      <c r="O19" s="27" t="e">
        <f t="shared" si="1"/>
        <v>#DIV/0!</v>
      </c>
    </row>
    <row r="20" spans="1:15" x14ac:dyDescent="0.3">
      <c r="A20" s="1" t="s">
        <v>25</v>
      </c>
      <c r="B20" s="1"/>
      <c r="C20" s="1"/>
      <c r="D20" s="1"/>
      <c r="E20" s="1"/>
      <c r="F20" s="1"/>
      <c r="G20" s="1">
        <f t="shared" si="0"/>
        <v>0</v>
      </c>
      <c r="H20" s="1"/>
      <c r="I20" s="1"/>
      <c r="J20" s="1"/>
      <c r="K20" s="1"/>
      <c r="L20" s="27" t="e">
        <f t="shared" si="1"/>
        <v>#DIV/0!</v>
      </c>
      <c r="M20" s="27" t="e">
        <f t="shared" si="1"/>
        <v>#DIV/0!</v>
      </c>
      <c r="N20" s="27" t="e">
        <f t="shared" si="1"/>
        <v>#DIV/0!</v>
      </c>
      <c r="O20" s="27" t="e">
        <f t="shared" si="1"/>
        <v>#DIV/0!</v>
      </c>
    </row>
    <row r="21" spans="1:15" x14ac:dyDescent="0.3">
      <c r="A21" s="1" t="s">
        <v>26</v>
      </c>
      <c r="B21" s="1"/>
      <c r="C21" s="1"/>
      <c r="D21" s="1"/>
      <c r="E21" s="1"/>
      <c r="F21" s="1"/>
      <c r="G21" s="1">
        <f t="shared" si="0"/>
        <v>0</v>
      </c>
      <c r="H21" s="1"/>
      <c r="I21" s="1"/>
      <c r="J21" s="1"/>
      <c r="K21" s="1"/>
      <c r="L21" s="27" t="e">
        <f t="shared" si="1"/>
        <v>#DIV/0!</v>
      </c>
      <c r="M21" s="27" t="e">
        <f t="shared" si="1"/>
        <v>#DIV/0!</v>
      </c>
      <c r="N21" s="27" t="e">
        <f t="shared" si="1"/>
        <v>#DIV/0!</v>
      </c>
      <c r="O21" s="27" t="e">
        <f t="shared" si="1"/>
        <v>#DIV/0!</v>
      </c>
    </row>
    <row r="22" spans="1:15" x14ac:dyDescent="0.3">
      <c r="A22" s="1" t="s">
        <v>27</v>
      </c>
      <c r="B22" s="1"/>
      <c r="C22" s="1"/>
      <c r="D22" s="1"/>
      <c r="E22" s="1"/>
      <c r="F22" s="1"/>
      <c r="G22" s="1">
        <f t="shared" si="0"/>
        <v>0</v>
      </c>
      <c r="H22" s="1"/>
      <c r="I22" s="1"/>
      <c r="J22" s="1"/>
      <c r="K22" s="1"/>
      <c r="L22" s="27" t="e">
        <f t="shared" si="1"/>
        <v>#DIV/0!</v>
      </c>
      <c r="M22" s="27" t="e">
        <f t="shared" si="1"/>
        <v>#DIV/0!</v>
      </c>
      <c r="N22" s="27" t="e">
        <f t="shared" si="1"/>
        <v>#DIV/0!</v>
      </c>
      <c r="O22" s="27" t="e">
        <f t="shared" si="1"/>
        <v>#DIV/0!</v>
      </c>
    </row>
    <row r="23" spans="1:15" x14ac:dyDescent="0.3">
      <c r="A23" s="1" t="s">
        <v>28</v>
      </c>
      <c r="B23" s="1"/>
      <c r="C23" s="1"/>
      <c r="D23" s="1"/>
      <c r="E23" s="1"/>
      <c r="F23" s="1"/>
      <c r="G23" s="1">
        <f t="shared" si="0"/>
        <v>0</v>
      </c>
      <c r="H23" s="1"/>
      <c r="I23" s="1"/>
      <c r="J23" s="1"/>
      <c r="K23" s="1"/>
      <c r="L23" s="27" t="e">
        <f t="shared" si="1"/>
        <v>#DIV/0!</v>
      </c>
      <c r="M23" s="27" t="e">
        <f t="shared" si="1"/>
        <v>#DIV/0!</v>
      </c>
      <c r="N23" s="27" t="e">
        <f t="shared" si="1"/>
        <v>#DIV/0!</v>
      </c>
      <c r="O23" s="27" t="e">
        <f t="shared" si="1"/>
        <v>#DIV/0!</v>
      </c>
    </row>
    <row r="24" spans="1:15" x14ac:dyDescent="0.3">
      <c r="A24" s="1" t="s">
        <v>29</v>
      </c>
      <c r="B24" s="1"/>
      <c r="C24" s="1"/>
      <c r="D24" s="1"/>
      <c r="E24" s="1"/>
      <c r="F24" s="1"/>
      <c r="G24" s="1">
        <f t="shared" si="0"/>
        <v>0</v>
      </c>
      <c r="H24" s="1"/>
      <c r="I24" s="1"/>
      <c r="J24" s="1"/>
      <c r="K24" s="1"/>
      <c r="L24" s="27" t="e">
        <f t="shared" si="1"/>
        <v>#DIV/0!</v>
      </c>
      <c r="M24" s="27" t="e">
        <f t="shared" si="1"/>
        <v>#DIV/0!</v>
      </c>
      <c r="N24" s="27" t="e">
        <f t="shared" si="1"/>
        <v>#DIV/0!</v>
      </c>
      <c r="O24" s="27" t="e">
        <f t="shared" si="1"/>
        <v>#DIV/0!</v>
      </c>
    </row>
    <row r="25" spans="1:15" x14ac:dyDescent="0.3">
      <c r="A25" s="1" t="s">
        <v>30</v>
      </c>
      <c r="B25" s="1"/>
      <c r="C25" s="1"/>
      <c r="D25" s="1"/>
      <c r="E25" s="1"/>
      <c r="F25" s="1"/>
      <c r="G25" s="1">
        <f t="shared" si="0"/>
        <v>0</v>
      </c>
      <c r="H25" s="1"/>
      <c r="I25" s="1"/>
      <c r="J25" s="1"/>
      <c r="K25" s="1"/>
      <c r="L25" s="27" t="e">
        <f t="shared" si="1"/>
        <v>#DIV/0!</v>
      </c>
      <c r="M25" s="27" t="e">
        <f t="shared" si="1"/>
        <v>#DIV/0!</v>
      </c>
      <c r="N25" s="27" t="e">
        <f t="shared" si="1"/>
        <v>#DIV/0!</v>
      </c>
      <c r="O25" s="27" t="e">
        <f t="shared" si="1"/>
        <v>#DIV/0!</v>
      </c>
    </row>
    <row r="26" spans="1:15" x14ac:dyDescent="0.3">
      <c r="A26" s="1" t="s">
        <v>31</v>
      </c>
      <c r="B26" s="1"/>
      <c r="C26" s="1"/>
      <c r="D26" s="1"/>
      <c r="E26" s="1"/>
      <c r="F26" s="1"/>
      <c r="G26" s="1">
        <f t="shared" si="0"/>
        <v>0</v>
      </c>
      <c r="H26" s="1"/>
      <c r="I26" s="1"/>
      <c r="J26" s="1"/>
      <c r="K26" s="1"/>
      <c r="L26" s="27" t="e">
        <f t="shared" si="1"/>
        <v>#DIV/0!</v>
      </c>
      <c r="M26" s="27" t="e">
        <f t="shared" si="1"/>
        <v>#DIV/0!</v>
      </c>
      <c r="N26" s="27" t="e">
        <f t="shared" si="1"/>
        <v>#DIV/0!</v>
      </c>
      <c r="O26" s="27" t="e">
        <f t="shared" si="1"/>
        <v>#DIV/0!</v>
      </c>
    </row>
    <row r="27" spans="1:15" x14ac:dyDescent="0.3">
      <c r="A27" s="1" t="s">
        <v>32</v>
      </c>
      <c r="B27" s="1"/>
      <c r="C27" s="1"/>
      <c r="D27" s="1"/>
      <c r="E27" s="1"/>
      <c r="F27" s="1"/>
      <c r="G27" s="1">
        <f t="shared" si="0"/>
        <v>0</v>
      </c>
      <c r="H27" s="1"/>
      <c r="I27" s="1"/>
      <c r="J27" s="1"/>
      <c r="K27" s="1"/>
      <c r="L27" s="27" t="e">
        <f t="shared" si="1"/>
        <v>#DIV/0!</v>
      </c>
      <c r="M27" s="27" t="e">
        <f t="shared" si="1"/>
        <v>#DIV/0!</v>
      </c>
      <c r="N27" s="27" t="e">
        <f t="shared" si="1"/>
        <v>#DIV/0!</v>
      </c>
      <c r="O27" s="27" t="e">
        <f t="shared" si="1"/>
        <v>#DIV/0!</v>
      </c>
    </row>
    <row r="28" spans="1:15" x14ac:dyDescent="0.3">
      <c r="A28" s="1" t="s">
        <v>33</v>
      </c>
      <c r="B28" s="1"/>
      <c r="C28" s="1"/>
      <c r="D28" s="1"/>
      <c r="E28" s="1"/>
      <c r="F28" s="1"/>
      <c r="G28" s="1">
        <f t="shared" si="0"/>
        <v>0</v>
      </c>
      <c r="H28" s="1"/>
      <c r="I28" s="1"/>
      <c r="J28" s="1"/>
      <c r="K28" s="1"/>
      <c r="L28" s="27" t="e">
        <f t="shared" si="1"/>
        <v>#DIV/0!</v>
      </c>
      <c r="M28" s="27" t="e">
        <f t="shared" si="1"/>
        <v>#DIV/0!</v>
      </c>
      <c r="N28" s="27" t="e">
        <f t="shared" si="1"/>
        <v>#DIV/0!</v>
      </c>
      <c r="O28" s="27" t="e">
        <f t="shared" si="1"/>
        <v>#DIV/0!</v>
      </c>
    </row>
    <row r="29" spans="1:15" x14ac:dyDescent="0.3">
      <c r="A29" s="1" t="s">
        <v>34</v>
      </c>
      <c r="B29" s="1"/>
      <c r="C29" s="1"/>
      <c r="D29" s="1"/>
      <c r="E29" s="1"/>
      <c r="F29" s="1"/>
      <c r="G29" s="1">
        <f t="shared" si="0"/>
        <v>0</v>
      </c>
      <c r="H29" s="1"/>
      <c r="I29" s="1"/>
      <c r="J29" s="1"/>
      <c r="K29" s="1"/>
      <c r="L29" s="27" t="e">
        <f t="shared" si="1"/>
        <v>#DIV/0!</v>
      </c>
      <c r="M29" s="27" t="e">
        <f t="shared" si="1"/>
        <v>#DIV/0!</v>
      </c>
      <c r="N29" s="27" t="e">
        <f t="shared" si="1"/>
        <v>#DIV/0!</v>
      </c>
      <c r="O29" s="27" t="e">
        <f t="shared" si="1"/>
        <v>#DIV/0!</v>
      </c>
    </row>
    <row r="30" spans="1:15" x14ac:dyDescent="0.3">
      <c r="A30" s="1" t="s">
        <v>35</v>
      </c>
      <c r="B30" s="1"/>
      <c r="C30" s="1"/>
      <c r="D30" s="1"/>
      <c r="E30" s="1"/>
      <c r="F30" s="1"/>
      <c r="G30" s="1">
        <f t="shared" si="0"/>
        <v>0</v>
      </c>
      <c r="H30" s="1"/>
      <c r="I30" s="1"/>
      <c r="J30" s="1"/>
      <c r="K30" s="1"/>
      <c r="L30" s="27" t="e">
        <f t="shared" si="1"/>
        <v>#DIV/0!</v>
      </c>
      <c r="M30" s="27" t="e">
        <f t="shared" si="1"/>
        <v>#DIV/0!</v>
      </c>
      <c r="N30" s="27" t="e">
        <f t="shared" si="1"/>
        <v>#DIV/0!</v>
      </c>
      <c r="O30" s="27" t="e">
        <f t="shared" si="1"/>
        <v>#DIV/0!</v>
      </c>
    </row>
    <row r="31" spans="1:15" x14ac:dyDescent="0.3">
      <c r="A31" s="1" t="s">
        <v>36</v>
      </c>
      <c r="B31" s="1"/>
      <c r="C31" s="1"/>
      <c r="D31" s="1"/>
      <c r="E31" s="1"/>
      <c r="F31" s="1"/>
      <c r="G31" s="1">
        <f t="shared" si="0"/>
        <v>0</v>
      </c>
      <c r="H31" s="1"/>
      <c r="I31" s="1"/>
      <c r="J31" s="1"/>
      <c r="K31" s="1"/>
      <c r="L31" s="27" t="e">
        <f t="shared" si="1"/>
        <v>#DIV/0!</v>
      </c>
      <c r="M31" s="27" t="e">
        <f t="shared" si="1"/>
        <v>#DIV/0!</v>
      </c>
      <c r="N31" s="27" t="e">
        <f t="shared" si="1"/>
        <v>#DIV/0!</v>
      </c>
      <c r="O31" s="27" t="e">
        <f t="shared" si="1"/>
        <v>#DIV/0!</v>
      </c>
    </row>
    <row r="32" spans="1:15" x14ac:dyDescent="0.3">
      <c r="A32" s="1" t="s">
        <v>37</v>
      </c>
      <c r="B32" s="1"/>
      <c r="C32" s="1"/>
      <c r="D32" s="1"/>
      <c r="E32" s="1"/>
      <c r="F32" s="1"/>
      <c r="G32" s="1">
        <f t="shared" si="0"/>
        <v>0</v>
      </c>
      <c r="H32" s="1"/>
      <c r="I32" s="1"/>
      <c r="J32" s="1"/>
      <c r="K32" s="1"/>
      <c r="L32" s="27" t="e">
        <f t="shared" si="1"/>
        <v>#DIV/0!</v>
      </c>
      <c r="M32" s="27" t="e">
        <f t="shared" si="1"/>
        <v>#DIV/0!</v>
      </c>
      <c r="N32" s="27" t="e">
        <f t="shared" si="1"/>
        <v>#DIV/0!</v>
      </c>
      <c r="O32" s="27" t="e">
        <f t="shared" si="1"/>
        <v>#DIV/0!</v>
      </c>
    </row>
    <row r="33" spans="1:15" x14ac:dyDescent="0.3">
      <c r="A33" s="1" t="s">
        <v>38</v>
      </c>
      <c r="B33" s="1"/>
      <c r="C33" s="1"/>
      <c r="D33" s="1"/>
      <c r="E33" s="1"/>
      <c r="F33" s="1"/>
      <c r="G33" s="1">
        <f t="shared" si="0"/>
        <v>0</v>
      </c>
      <c r="H33" s="1"/>
      <c r="I33" s="1"/>
      <c r="J33" s="1"/>
      <c r="K33" s="1"/>
      <c r="L33" s="27" t="e">
        <f t="shared" si="1"/>
        <v>#DIV/0!</v>
      </c>
      <c r="M33" s="27" t="e">
        <f t="shared" si="1"/>
        <v>#DIV/0!</v>
      </c>
      <c r="N33" s="27" t="e">
        <f t="shared" si="1"/>
        <v>#DIV/0!</v>
      </c>
      <c r="O33" s="27" t="e">
        <f t="shared" si="1"/>
        <v>#DIV/0!</v>
      </c>
    </row>
    <row r="34" spans="1:15" x14ac:dyDescent="0.3">
      <c r="A34" s="1" t="s">
        <v>39</v>
      </c>
      <c r="B34" s="1"/>
      <c r="C34" s="1"/>
      <c r="D34" s="1"/>
      <c r="E34" s="1"/>
      <c r="F34" s="1"/>
      <c r="G34" s="1">
        <f t="shared" si="0"/>
        <v>0</v>
      </c>
      <c r="H34" s="1"/>
      <c r="I34" s="1"/>
      <c r="J34" s="1"/>
      <c r="K34" s="1"/>
      <c r="L34" s="27" t="e">
        <f t="shared" si="1"/>
        <v>#DIV/0!</v>
      </c>
      <c r="M34" s="27" t="e">
        <f t="shared" si="1"/>
        <v>#DIV/0!</v>
      </c>
      <c r="N34" s="27" t="e">
        <f t="shared" si="1"/>
        <v>#DIV/0!</v>
      </c>
      <c r="O34" s="27" t="e">
        <f t="shared" si="1"/>
        <v>#DIV/0!</v>
      </c>
    </row>
    <row r="35" spans="1:15" x14ac:dyDescent="0.3">
      <c r="A35" s="1" t="s">
        <v>40</v>
      </c>
      <c r="B35" s="1"/>
      <c r="C35" s="1"/>
      <c r="D35" s="1"/>
      <c r="E35" s="1"/>
      <c r="F35" s="1"/>
      <c r="G35" s="1">
        <f t="shared" si="0"/>
        <v>0</v>
      </c>
      <c r="H35" s="1"/>
      <c r="I35" s="1"/>
      <c r="J35" s="1"/>
      <c r="K35" s="1"/>
      <c r="L35" s="27" t="e">
        <f t="shared" si="1"/>
        <v>#DIV/0!</v>
      </c>
      <c r="M35" s="27" t="e">
        <f t="shared" si="1"/>
        <v>#DIV/0!</v>
      </c>
      <c r="N35" s="27" t="e">
        <f t="shared" si="1"/>
        <v>#DIV/0!</v>
      </c>
      <c r="O35" s="27" t="e">
        <f t="shared" si="1"/>
        <v>#DIV/0!</v>
      </c>
    </row>
    <row r="36" spans="1:15" x14ac:dyDescent="0.3">
      <c r="A36" s="1" t="s">
        <v>41</v>
      </c>
      <c r="B36" s="1"/>
      <c r="C36" s="1"/>
      <c r="D36" s="1"/>
      <c r="E36" s="1"/>
      <c r="F36" s="1"/>
      <c r="G36" s="1">
        <f t="shared" si="0"/>
        <v>0</v>
      </c>
      <c r="H36" s="1"/>
      <c r="I36" s="1"/>
      <c r="J36" s="1"/>
      <c r="K36" s="1"/>
      <c r="L36" s="27" t="e">
        <f t="shared" ref="L36:O67" si="3">1/$G36</f>
        <v>#DIV/0!</v>
      </c>
      <c r="M36" s="27" t="e">
        <f t="shared" si="3"/>
        <v>#DIV/0!</v>
      </c>
      <c r="N36" s="27" t="e">
        <f t="shared" si="3"/>
        <v>#DIV/0!</v>
      </c>
      <c r="O36" s="27" t="e">
        <f t="shared" si="3"/>
        <v>#DIV/0!</v>
      </c>
    </row>
    <row r="37" spans="1:15" x14ac:dyDescent="0.3">
      <c r="A37" s="1" t="s">
        <v>42</v>
      </c>
      <c r="B37" s="1"/>
      <c r="C37" s="1"/>
      <c r="D37" s="1"/>
      <c r="E37" s="1"/>
      <c r="F37" s="1"/>
      <c r="G37" s="1">
        <f t="shared" si="0"/>
        <v>0</v>
      </c>
      <c r="H37" s="1"/>
      <c r="I37" s="1"/>
      <c r="J37" s="1"/>
      <c r="K37" s="1"/>
      <c r="L37" s="27" t="e">
        <f t="shared" si="3"/>
        <v>#DIV/0!</v>
      </c>
      <c r="M37" s="27" t="e">
        <f t="shared" si="3"/>
        <v>#DIV/0!</v>
      </c>
      <c r="N37" s="27" t="e">
        <f t="shared" si="3"/>
        <v>#DIV/0!</v>
      </c>
      <c r="O37" s="27" t="e">
        <f t="shared" si="3"/>
        <v>#DIV/0!</v>
      </c>
    </row>
    <row r="38" spans="1:15" x14ac:dyDescent="0.3">
      <c r="A38" s="1" t="s">
        <v>43</v>
      </c>
      <c r="B38" s="1"/>
      <c r="C38" s="1"/>
      <c r="D38" s="1"/>
      <c r="E38" s="1"/>
      <c r="F38" s="1"/>
      <c r="G38" s="1">
        <f t="shared" si="0"/>
        <v>0</v>
      </c>
      <c r="H38" s="1"/>
      <c r="I38" s="1"/>
      <c r="J38" s="1"/>
      <c r="K38" s="1"/>
      <c r="L38" s="27" t="e">
        <f t="shared" si="3"/>
        <v>#DIV/0!</v>
      </c>
      <c r="M38" s="27" t="e">
        <f t="shared" si="3"/>
        <v>#DIV/0!</v>
      </c>
      <c r="N38" s="27" t="e">
        <f t="shared" si="3"/>
        <v>#DIV/0!</v>
      </c>
      <c r="O38" s="27" t="e">
        <f t="shared" si="3"/>
        <v>#DIV/0!</v>
      </c>
    </row>
    <row r="39" spans="1:15" x14ac:dyDescent="0.3">
      <c r="A39" s="1" t="s">
        <v>44</v>
      </c>
      <c r="B39" s="1"/>
      <c r="C39" s="1"/>
      <c r="D39" s="1"/>
      <c r="E39" s="1"/>
      <c r="F39" s="1"/>
      <c r="G39" s="1">
        <f t="shared" si="0"/>
        <v>0</v>
      </c>
      <c r="H39" s="1"/>
      <c r="I39" s="1"/>
      <c r="J39" s="1"/>
      <c r="K39" s="1"/>
      <c r="L39" s="27" t="e">
        <f t="shared" si="3"/>
        <v>#DIV/0!</v>
      </c>
      <c r="M39" s="27" t="e">
        <f t="shared" si="3"/>
        <v>#DIV/0!</v>
      </c>
      <c r="N39" s="27" t="e">
        <f t="shared" si="3"/>
        <v>#DIV/0!</v>
      </c>
      <c r="O39" s="27" t="e">
        <f t="shared" si="3"/>
        <v>#DIV/0!</v>
      </c>
    </row>
    <row r="40" spans="1:15" x14ac:dyDescent="0.3">
      <c r="A40" s="1" t="s">
        <v>45</v>
      </c>
      <c r="B40" s="1"/>
      <c r="C40" s="1"/>
      <c r="D40" s="1"/>
      <c r="E40" s="1"/>
      <c r="F40" s="1"/>
      <c r="G40" s="1">
        <f t="shared" si="0"/>
        <v>0</v>
      </c>
      <c r="H40" s="1"/>
      <c r="I40" s="1"/>
      <c r="J40" s="1"/>
      <c r="K40" s="1"/>
      <c r="L40" s="27" t="e">
        <f t="shared" si="3"/>
        <v>#DIV/0!</v>
      </c>
      <c r="M40" s="27" t="e">
        <f t="shared" si="3"/>
        <v>#DIV/0!</v>
      </c>
      <c r="N40" s="27" t="e">
        <f t="shared" si="3"/>
        <v>#DIV/0!</v>
      </c>
      <c r="O40" s="27" t="e">
        <f t="shared" si="3"/>
        <v>#DIV/0!</v>
      </c>
    </row>
    <row r="41" spans="1:15" x14ac:dyDescent="0.3">
      <c r="A41" s="1" t="s">
        <v>46</v>
      </c>
      <c r="B41" s="1"/>
      <c r="C41" s="1"/>
      <c r="D41" s="1"/>
      <c r="E41" s="1"/>
      <c r="F41" s="1"/>
      <c r="G41" s="1">
        <f t="shared" si="0"/>
        <v>0</v>
      </c>
      <c r="H41" s="1"/>
      <c r="I41" s="1"/>
      <c r="J41" s="1"/>
      <c r="K41" s="1"/>
      <c r="L41" s="27" t="e">
        <f t="shared" si="3"/>
        <v>#DIV/0!</v>
      </c>
      <c r="M41" s="27" t="e">
        <f t="shared" si="3"/>
        <v>#DIV/0!</v>
      </c>
      <c r="N41" s="27" t="e">
        <f t="shared" si="3"/>
        <v>#DIV/0!</v>
      </c>
      <c r="O41" s="27" t="e">
        <f t="shared" si="3"/>
        <v>#DIV/0!</v>
      </c>
    </row>
    <row r="42" spans="1:15" x14ac:dyDescent="0.3">
      <c r="A42" s="1" t="s">
        <v>47</v>
      </c>
      <c r="B42" s="1"/>
      <c r="C42" s="1"/>
      <c r="D42" s="1"/>
      <c r="E42" s="1"/>
      <c r="F42" s="1"/>
      <c r="G42" s="1">
        <f t="shared" si="0"/>
        <v>0</v>
      </c>
      <c r="H42" s="1"/>
      <c r="I42" s="1"/>
      <c r="J42" s="1"/>
      <c r="K42" s="1"/>
      <c r="L42" s="27" t="e">
        <f t="shared" si="3"/>
        <v>#DIV/0!</v>
      </c>
      <c r="M42" s="27" t="e">
        <f t="shared" si="3"/>
        <v>#DIV/0!</v>
      </c>
      <c r="N42" s="27" t="e">
        <f t="shared" si="3"/>
        <v>#DIV/0!</v>
      </c>
      <c r="O42" s="27" t="e">
        <f t="shared" si="3"/>
        <v>#DIV/0!</v>
      </c>
    </row>
    <row r="43" spans="1:15" x14ac:dyDescent="0.3">
      <c r="A43" s="1" t="s">
        <v>48</v>
      </c>
      <c r="B43" s="1"/>
      <c r="C43" s="1"/>
      <c r="D43" s="1"/>
      <c r="E43" s="1"/>
      <c r="F43" s="1"/>
      <c r="G43" s="1">
        <f t="shared" si="0"/>
        <v>0</v>
      </c>
      <c r="H43" s="1"/>
      <c r="I43" s="1"/>
      <c r="J43" s="1"/>
      <c r="K43" s="1"/>
      <c r="L43" s="27" t="e">
        <f t="shared" si="3"/>
        <v>#DIV/0!</v>
      </c>
      <c r="M43" s="27" t="e">
        <f t="shared" si="3"/>
        <v>#DIV/0!</v>
      </c>
      <c r="N43" s="27" t="e">
        <f t="shared" si="3"/>
        <v>#DIV/0!</v>
      </c>
      <c r="O43" s="27" t="e">
        <f t="shared" si="3"/>
        <v>#DIV/0!</v>
      </c>
    </row>
    <row r="44" spans="1:15" x14ac:dyDescent="0.3">
      <c r="A44" s="1" t="s">
        <v>49</v>
      </c>
      <c r="B44" s="1"/>
      <c r="C44" s="1"/>
      <c r="D44" s="1"/>
      <c r="E44" s="1"/>
      <c r="F44" s="1"/>
      <c r="G44" s="1">
        <f t="shared" si="0"/>
        <v>0</v>
      </c>
      <c r="H44" s="1"/>
      <c r="I44" s="1"/>
      <c r="J44" s="1"/>
      <c r="K44" s="1"/>
      <c r="L44" s="27" t="e">
        <f t="shared" si="3"/>
        <v>#DIV/0!</v>
      </c>
      <c r="M44" s="27" t="e">
        <f t="shared" si="3"/>
        <v>#DIV/0!</v>
      </c>
      <c r="N44" s="27" t="e">
        <f t="shared" si="3"/>
        <v>#DIV/0!</v>
      </c>
      <c r="O44" s="27" t="e">
        <f t="shared" si="3"/>
        <v>#DIV/0!</v>
      </c>
    </row>
    <row r="45" spans="1:15" x14ac:dyDescent="0.3">
      <c r="A45" s="1" t="s">
        <v>50</v>
      </c>
      <c r="B45" s="1"/>
      <c r="C45" s="1"/>
      <c r="D45" s="1"/>
      <c r="E45" s="1"/>
      <c r="F45" s="1"/>
      <c r="G45" s="1">
        <f t="shared" si="0"/>
        <v>0</v>
      </c>
      <c r="H45" s="1"/>
      <c r="I45" s="1"/>
      <c r="J45" s="1"/>
      <c r="K45" s="1"/>
      <c r="L45" s="27" t="e">
        <f t="shared" si="3"/>
        <v>#DIV/0!</v>
      </c>
      <c r="M45" s="27" t="e">
        <f t="shared" si="3"/>
        <v>#DIV/0!</v>
      </c>
      <c r="N45" s="27" t="e">
        <f t="shared" si="3"/>
        <v>#DIV/0!</v>
      </c>
      <c r="O45" s="27" t="e">
        <f t="shared" si="3"/>
        <v>#DIV/0!</v>
      </c>
    </row>
    <row r="46" spans="1:15" x14ac:dyDescent="0.3">
      <c r="A46" s="1" t="s">
        <v>51</v>
      </c>
      <c r="B46" s="1"/>
      <c r="C46" s="1"/>
      <c r="D46" s="1"/>
      <c r="E46" s="1"/>
      <c r="F46" s="1"/>
      <c r="G46" s="1">
        <f t="shared" si="0"/>
        <v>0</v>
      </c>
      <c r="H46" s="1"/>
      <c r="I46" s="1"/>
      <c r="J46" s="1"/>
      <c r="K46" s="1"/>
      <c r="L46" s="27" t="e">
        <f t="shared" si="3"/>
        <v>#DIV/0!</v>
      </c>
      <c r="M46" s="27" t="e">
        <f t="shared" si="3"/>
        <v>#DIV/0!</v>
      </c>
      <c r="N46" s="27" t="e">
        <f t="shared" si="3"/>
        <v>#DIV/0!</v>
      </c>
      <c r="O46" s="27" t="e">
        <f t="shared" si="3"/>
        <v>#DIV/0!</v>
      </c>
    </row>
    <row r="47" spans="1:15" x14ac:dyDescent="0.3">
      <c r="A47" s="1" t="s">
        <v>52</v>
      </c>
      <c r="B47" s="1"/>
      <c r="C47" s="1"/>
      <c r="D47" s="1"/>
      <c r="E47" s="1"/>
      <c r="F47" s="1"/>
      <c r="G47" s="1">
        <f t="shared" si="0"/>
        <v>0</v>
      </c>
      <c r="H47" s="1"/>
      <c r="I47" s="1"/>
      <c r="J47" s="1"/>
      <c r="K47" s="1"/>
      <c r="L47" s="27" t="e">
        <f t="shared" si="3"/>
        <v>#DIV/0!</v>
      </c>
      <c r="M47" s="27" t="e">
        <f t="shared" si="3"/>
        <v>#DIV/0!</v>
      </c>
      <c r="N47" s="27" t="e">
        <f t="shared" si="3"/>
        <v>#DIV/0!</v>
      </c>
      <c r="O47" s="27" t="e">
        <f t="shared" si="3"/>
        <v>#DIV/0!</v>
      </c>
    </row>
    <row r="48" spans="1:15" x14ac:dyDescent="0.3">
      <c r="A48" s="1" t="s">
        <v>53</v>
      </c>
      <c r="B48" s="1"/>
      <c r="C48" s="1"/>
      <c r="D48" s="1"/>
      <c r="E48" s="1"/>
      <c r="F48" s="1"/>
      <c r="G48" s="1">
        <f t="shared" si="0"/>
        <v>0</v>
      </c>
      <c r="H48" s="1"/>
      <c r="I48" s="1"/>
      <c r="J48" s="1"/>
      <c r="K48" s="1"/>
      <c r="L48" s="27" t="e">
        <f t="shared" si="3"/>
        <v>#DIV/0!</v>
      </c>
      <c r="M48" s="27" t="e">
        <f t="shared" si="3"/>
        <v>#DIV/0!</v>
      </c>
      <c r="N48" s="27" t="e">
        <f t="shared" si="3"/>
        <v>#DIV/0!</v>
      </c>
      <c r="O48" s="27" t="e">
        <f t="shared" si="3"/>
        <v>#DIV/0!</v>
      </c>
    </row>
    <row r="49" spans="1:15" x14ac:dyDescent="0.3">
      <c r="A49" s="1" t="s">
        <v>54</v>
      </c>
      <c r="B49" s="1"/>
      <c r="C49" s="1"/>
      <c r="D49" s="1"/>
      <c r="E49" s="1"/>
      <c r="F49" s="1"/>
      <c r="G49" s="1">
        <f t="shared" si="0"/>
        <v>0</v>
      </c>
      <c r="H49" s="1"/>
      <c r="I49" s="1"/>
      <c r="J49" s="1"/>
      <c r="K49" s="1"/>
      <c r="L49" s="27" t="e">
        <f t="shared" si="3"/>
        <v>#DIV/0!</v>
      </c>
      <c r="M49" s="27" t="e">
        <f t="shared" si="3"/>
        <v>#DIV/0!</v>
      </c>
      <c r="N49" s="27" t="e">
        <f t="shared" si="3"/>
        <v>#DIV/0!</v>
      </c>
      <c r="O49" s="27" t="e">
        <f t="shared" si="3"/>
        <v>#DIV/0!</v>
      </c>
    </row>
    <row r="50" spans="1:15" x14ac:dyDescent="0.3">
      <c r="A50" s="1" t="s">
        <v>55</v>
      </c>
      <c r="B50" s="1"/>
      <c r="C50" s="1"/>
      <c r="D50" s="1"/>
      <c r="E50" s="1"/>
      <c r="F50" s="1"/>
      <c r="G50" s="1">
        <f t="shared" si="0"/>
        <v>0</v>
      </c>
      <c r="H50" s="1"/>
      <c r="I50" s="1"/>
      <c r="J50" s="1"/>
      <c r="K50" s="1"/>
      <c r="L50" s="27" t="e">
        <f t="shared" si="3"/>
        <v>#DIV/0!</v>
      </c>
      <c r="M50" s="27" t="e">
        <f t="shared" si="3"/>
        <v>#DIV/0!</v>
      </c>
      <c r="N50" s="27" t="e">
        <f t="shared" si="3"/>
        <v>#DIV/0!</v>
      </c>
      <c r="O50" s="27" t="e">
        <f t="shared" si="3"/>
        <v>#DIV/0!</v>
      </c>
    </row>
    <row r="51" spans="1:15" x14ac:dyDescent="0.3">
      <c r="A51" s="1" t="s">
        <v>56</v>
      </c>
      <c r="B51" s="1"/>
      <c r="C51" s="1"/>
      <c r="D51" s="1"/>
      <c r="E51" s="1"/>
      <c r="F51" s="1"/>
      <c r="G51" s="1">
        <f t="shared" si="0"/>
        <v>0</v>
      </c>
      <c r="H51" s="1"/>
      <c r="I51" s="1"/>
      <c r="J51" s="1"/>
      <c r="K51" s="1"/>
      <c r="L51" s="27" t="e">
        <f t="shared" si="3"/>
        <v>#DIV/0!</v>
      </c>
      <c r="M51" s="27" t="e">
        <f t="shared" si="3"/>
        <v>#DIV/0!</v>
      </c>
      <c r="N51" s="27" t="e">
        <f t="shared" si="3"/>
        <v>#DIV/0!</v>
      </c>
      <c r="O51" s="27" t="e">
        <f t="shared" si="3"/>
        <v>#DIV/0!</v>
      </c>
    </row>
    <row r="52" spans="1:15" x14ac:dyDescent="0.3">
      <c r="A52" s="1" t="s">
        <v>57</v>
      </c>
      <c r="B52" s="1"/>
      <c r="C52" s="1"/>
      <c r="D52" s="1"/>
      <c r="E52" s="1"/>
      <c r="F52" s="1"/>
      <c r="G52" s="1">
        <f t="shared" si="0"/>
        <v>0</v>
      </c>
      <c r="H52" s="1"/>
      <c r="I52" s="1"/>
      <c r="J52" s="1"/>
      <c r="K52" s="1"/>
      <c r="L52" s="27" t="e">
        <f t="shared" si="3"/>
        <v>#DIV/0!</v>
      </c>
      <c r="M52" s="27" t="e">
        <f t="shared" si="3"/>
        <v>#DIV/0!</v>
      </c>
      <c r="N52" s="27" t="e">
        <f t="shared" si="3"/>
        <v>#DIV/0!</v>
      </c>
      <c r="O52" s="27" t="e">
        <f t="shared" si="3"/>
        <v>#DIV/0!</v>
      </c>
    </row>
    <row r="53" spans="1:15" x14ac:dyDescent="0.3">
      <c r="A53" s="1" t="s">
        <v>58</v>
      </c>
      <c r="B53" s="1"/>
      <c r="C53" s="1"/>
      <c r="D53" s="1"/>
      <c r="E53" s="1"/>
      <c r="F53" s="1"/>
      <c r="G53" s="1">
        <f t="shared" si="0"/>
        <v>0</v>
      </c>
      <c r="H53" s="1"/>
      <c r="I53" s="1"/>
      <c r="J53" s="1"/>
      <c r="K53" s="1"/>
      <c r="L53" s="27" t="e">
        <f t="shared" si="3"/>
        <v>#DIV/0!</v>
      </c>
      <c r="M53" s="27" t="e">
        <f t="shared" si="3"/>
        <v>#DIV/0!</v>
      </c>
      <c r="N53" s="27" t="e">
        <f t="shared" si="3"/>
        <v>#DIV/0!</v>
      </c>
      <c r="O53" s="27" t="e">
        <f t="shared" si="3"/>
        <v>#DIV/0!</v>
      </c>
    </row>
    <row r="54" spans="1:15" x14ac:dyDescent="0.3">
      <c r="A54" s="1" t="s">
        <v>59</v>
      </c>
      <c r="B54" s="1"/>
      <c r="C54" s="1"/>
      <c r="D54" s="1"/>
      <c r="E54" s="1"/>
      <c r="F54" s="1"/>
      <c r="G54" s="1">
        <f t="shared" si="0"/>
        <v>0</v>
      </c>
      <c r="H54" s="1"/>
      <c r="I54" s="1"/>
      <c r="J54" s="1"/>
      <c r="K54" s="1"/>
      <c r="L54" s="27" t="e">
        <f t="shared" si="3"/>
        <v>#DIV/0!</v>
      </c>
      <c r="M54" s="27" t="e">
        <f t="shared" si="3"/>
        <v>#DIV/0!</v>
      </c>
      <c r="N54" s="27" t="e">
        <f t="shared" si="3"/>
        <v>#DIV/0!</v>
      </c>
      <c r="O54" s="27" t="e">
        <f t="shared" si="3"/>
        <v>#DIV/0!</v>
      </c>
    </row>
    <row r="55" spans="1:15" x14ac:dyDescent="0.3">
      <c r="A55" s="1" t="s">
        <v>60</v>
      </c>
      <c r="B55" s="1"/>
      <c r="C55" s="1"/>
      <c r="D55" s="1"/>
      <c r="E55" s="1"/>
      <c r="F55" s="1"/>
      <c r="G55" s="1">
        <f t="shared" si="0"/>
        <v>0</v>
      </c>
      <c r="H55" s="1"/>
      <c r="I55" s="1"/>
      <c r="J55" s="1"/>
      <c r="K55" s="1"/>
      <c r="L55" s="27" t="e">
        <f t="shared" si="3"/>
        <v>#DIV/0!</v>
      </c>
      <c r="M55" s="27" t="e">
        <f t="shared" si="3"/>
        <v>#DIV/0!</v>
      </c>
      <c r="N55" s="27" t="e">
        <f t="shared" si="3"/>
        <v>#DIV/0!</v>
      </c>
      <c r="O55" s="27" t="e">
        <f t="shared" si="3"/>
        <v>#DIV/0!</v>
      </c>
    </row>
    <row r="56" spans="1:15" x14ac:dyDescent="0.3">
      <c r="A56" s="1" t="s">
        <v>61</v>
      </c>
      <c r="B56" s="1"/>
      <c r="C56" s="1"/>
      <c r="D56" s="1"/>
      <c r="E56" s="1"/>
      <c r="F56" s="1"/>
      <c r="G56" s="1">
        <f t="shared" si="0"/>
        <v>0</v>
      </c>
      <c r="H56" s="1"/>
      <c r="I56" s="1"/>
      <c r="J56" s="1"/>
      <c r="K56" s="1"/>
      <c r="L56" s="27" t="e">
        <f t="shared" si="3"/>
        <v>#DIV/0!</v>
      </c>
      <c r="M56" s="27" t="e">
        <f t="shared" si="3"/>
        <v>#DIV/0!</v>
      </c>
      <c r="N56" s="27" t="e">
        <f t="shared" si="3"/>
        <v>#DIV/0!</v>
      </c>
      <c r="O56" s="27" t="e">
        <f t="shared" si="3"/>
        <v>#DIV/0!</v>
      </c>
    </row>
    <row r="57" spans="1:15" x14ac:dyDescent="0.3">
      <c r="A57" s="1" t="s">
        <v>62</v>
      </c>
      <c r="B57" s="1"/>
      <c r="C57" s="1"/>
      <c r="D57" s="1"/>
      <c r="E57" s="1"/>
      <c r="F57" s="1"/>
      <c r="G57" s="1">
        <f t="shared" si="0"/>
        <v>0</v>
      </c>
      <c r="H57" s="1"/>
      <c r="I57" s="1"/>
      <c r="J57" s="1"/>
      <c r="K57" s="1"/>
      <c r="L57" s="27" t="e">
        <f t="shared" si="3"/>
        <v>#DIV/0!</v>
      </c>
      <c r="M57" s="27" t="e">
        <f t="shared" si="3"/>
        <v>#DIV/0!</v>
      </c>
      <c r="N57" s="27" t="e">
        <f t="shared" si="3"/>
        <v>#DIV/0!</v>
      </c>
      <c r="O57" s="27" t="e">
        <f t="shared" si="3"/>
        <v>#DIV/0!</v>
      </c>
    </row>
    <row r="58" spans="1:15" x14ac:dyDescent="0.3">
      <c r="A58" s="1" t="s">
        <v>63</v>
      </c>
      <c r="B58" s="1"/>
      <c r="C58" s="1"/>
      <c r="D58" s="1"/>
      <c r="E58" s="1"/>
      <c r="F58" s="1"/>
      <c r="G58" s="1">
        <f t="shared" si="0"/>
        <v>0</v>
      </c>
      <c r="H58" s="1"/>
      <c r="I58" s="1"/>
      <c r="J58" s="1"/>
      <c r="K58" s="1"/>
      <c r="L58" s="27" t="e">
        <f t="shared" si="3"/>
        <v>#DIV/0!</v>
      </c>
      <c r="M58" s="27" t="e">
        <f t="shared" si="3"/>
        <v>#DIV/0!</v>
      </c>
      <c r="N58" s="27" t="e">
        <f t="shared" si="3"/>
        <v>#DIV/0!</v>
      </c>
      <c r="O58" s="27" t="e">
        <f t="shared" si="3"/>
        <v>#DIV/0!</v>
      </c>
    </row>
    <row r="59" spans="1:15" x14ac:dyDescent="0.3">
      <c r="A59" s="1" t="s">
        <v>64</v>
      </c>
      <c r="B59" s="1"/>
      <c r="C59" s="1"/>
      <c r="D59" s="1"/>
      <c r="E59" s="1"/>
      <c r="F59" s="1"/>
      <c r="G59" s="1">
        <f t="shared" si="0"/>
        <v>0</v>
      </c>
      <c r="H59" s="1"/>
      <c r="I59" s="1"/>
      <c r="J59" s="1"/>
      <c r="K59" s="1"/>
      <c r="L59" s="27" t="e">
        <f t="shared" si="3"/>
        <v>#DIV/0!</v>
      </c>
      <c r="M59" s="27" t="e">
        <f t="shared" si="3"/>
        <v>#DIV/0!</v>
      </c>
      <c r="N59" s="27" t="e">
        <f t="shared" si="3"/>
        <v>#DIV/0!</v>
      </c>
      <c r="O59" s="27" t="e">
        <f t="shared" si="3"/>
        <v>#DIV/0!</v>
      </c>
    </row>
    <row r="60" spans="1:15" x14ac:dyDescent="0.3">
      <c r="A60" s="1" t="s">
        <v>65</v>
      </c>
      <c r="B60" s="1"/>
      <c r="C60" s="1"/>
      <c r="D60" s="1"/>
      <c r="E60" s="1"/>
      <c r="F60" s="1"/>
      <c r="G60" s="1">
        <f t="shared" si="0"/>
        <v>0</v>
      </c>
      <c r="H60" s="1"/>
      <c r="I60" s="1"/>
      <c r="J60" s="1"/>
      <c r="K60" s="1"/>
      <c r="L60" s="27" t="e">
        <f t="shared" si="3"/>
        <v>#DIV/0!</v>
      </c>
      <c r="M60" s="27" t="e">
        <f t="shared" si="3"/>
        <v>#DIV/0!</v>
      </c>
      <c r="N60" s="27" t="e">
        <f t="shared" si="3"/>
        <v>#DIV/0!</v>
      </c>
      <c r="O60" s="27" t="e">
        <f t="shared" si="3"/>
        <v>#DIV/0!</v>
      </c>
    </row>
    <row r="61" spans="1:15" x14ac:dyDescent="0.3">
      <c r="A61" s="1" t="s">
        <v>66</v>
      </c>
      <c r="B61" s="1"/>
      <c r="C61" s="1"/>
      <c r="D61" s="1"/>
      <c r="E61" s="1"/>
      <c r="F61" s="1"/>
      <c r="G61" s="1">
        <f t="shared" si="0"/>
        <v>0</v>
      </c>
      <c r="H61" s="1"/>
      <c r="I61" s="1"/>
      <c r="J61" s="1"/>
      <c r="K61" s="1"/>
      <c r="L61" s="27" t="e">
        <f t="shared" si="3"/>
        <v>#DIV/0!</v>
      </c>
      <c r="M61" s="27" t="e">
        <f t="shared" si="3"/>
        <v>#DIV/0!</v>
      </c>
      <c r="N61" s="27" t="e">
        <f t="shared" si="3"/>
        <v>#DIV/0!</v>
      </c>
      <c r="O61" s="27" t="e">
        <f t="shared" si="3"/>
        <v>#DIV/0!</v>
      </c>
    </row>
    <row r="62" spans="1:15" x14ac:dyDescent="0.3">
      <c r="A62" s="1" t="s">
        <v>67</v>
      </c>
      <c r="B62" s="1"/>
      <c r="C62" s="1"/>
      <c r="D62" s="1"/>
      <c r="E62" s="1"/>
      <c r="F62" s="1"/>
      <c r="G62" s="1">
        <f t="shared" si="0"/>
        <v>0</v>
      </c>
      <c r="H62" s="1"/>
      <c r="I62" s="1"/>
      <c r="J62" s="1"/>
      <c r="K62" s="1"/>
      <c r="L62" s="27" t="e">
        <f t="shared" si="3"/>
        <v>#DIV/0!</v>
      </c>
      <c r="M62" s="27" t="e">
        <f t="shared" si="3"/>
        <v>#DIV/0!</v>
      </c>
      <c r="N62" s="27" t="e">
        <f t="shared" si="3"/>
        <v>#DIV/0!</v>
      </c>
      <c r="O62" s="27" t="e">
        <f t="shared" si="3"/>
        <v>#DIV/0!</v>
      </c>
    </row>
    <row r="63" spans="1:15" x14ac:dyDescent="0.3">
      <c r="A63" s="1" t="s">
        <v>68</v>
      </c>
      <c r="B63" s="1"/>
      <c r="C63" s="1"/>
      <c r="D63" s="1"/>
      <c r="E63" s="1"/>
      <c r="F63" s="1"/>
      <c r="G63" s="1">
        <f t="shared" si="0"/>
        <v>0</v>
      </c>
      <c r="H63" s="1"/>
      <c r="I63" s="1"/>
      <c r="J63" s="1"/>
      <c r="K63" s="1"/>
      <c r="L63" s="27" t="e">
        <f t="shared" si="3"/>
        <v>#DIV/0!</v>
      </c>
      <c r="M63" s="27" t="e">
        <f t="shared" si="3"/>
        <v>#DIV/0!</v>
      </c>
      <c r="N63" s="27" t="e">
        <f t="shared" si="3"/>
        <v>#DIV/0!</v>
      </c>
      <c r="O63" s="27" t="e">
        <f t="shared" si="3"/>
        <v>#DIV/0!</v>
      </c>
    </row>
    <row r="64" spans="1:15" x14ac:dyDescent="0.3">
      <c r="A64" s="1" t="s">
        <v>69</v>
      </c>
      <c r="B64" s="1"/>
      <c r="C64" s="1"/>
      <c r="D64" s="1"/>
      <c r="E64" s="1"/>
      <c r="F64" s="1"/>
      <c r="G64" s="1">
        <f t="shared" si="0"/>
        <v>0</v>
      </c>
      <c r="H64" s="1"/>
      <c r="I64" s="1"/>
      <c r="J64" s="1"/>
      <c r="K64" s="1"/>
      <c r="L64" s="27" t="e">
        <f t="shared" si="3"/>
        <v>#DIV/0!</v>
      </c>
      <c r="M64" s="27" t="e">
        <f t="shared" si="3"/>
        <v>#DIV/0!</v>
      </c>
      <c r="N64" s="27" t="e">
        <f t="shared" si="3"/>
        <v>#DIV/0!</v>
      </c>
      <c r="O64" s="27" t="e">
        <f t="shared" si="3"/>
        <v>#DIV/0!</v>
      </c>
    </row>
    <row r="65" spans="1:15" x14ac:dyDescent="0.3">
      <c r="A65" s="1" t="s">
        <v>70</v>
      </c>
      <c r="B65" s="1"/>
      <c r="C65" s="1"/>
      <c r="D65" s="1"/>
      <c r="E65" s="1"/>
      <c r="F65" s="1"/>
      <c r="G65" s="1">
        <f t="shared" si="0"/>
        <v>0</v>
      </c>
      <c r="H65" s="1"/>
      <c r="I65" s="1"/>
      <c r="J65" s="1"/>
      <c r="K65" s="1"/>
      <c r="L65" s="27" t="e">
        <f t="shared" si="3"/>
        <v>#DIV/0!</v>
      </c>
      <c r="M65" s="27" t="e">
        <f t="shared" si="3"/>
        <v>#DIV/0!</v>
      </c>
      <c r="N65" s="27" t="e">
        <f t="shared" si="3"/>
        <v>#DIV/0!</v>
      </c>
      <c r="O65" s="27" t="e">
        <f t="shared" si="3"/>
        <v>#DIV/0!</v>
      </c>
    </row>
    <row r="66" spans="1:15" x14ac:dyDescent="0.3">
      <c r="A66" s="1" t="s">
        <v>71</v>
      </c>
      <c r="B66" s="1"/>
      <c r="C66" s="1"/>
      <c r="D66" s="1"/>
      <c r="E66" s="1"/>
      <c r="F66" s="1"/>
      <c r="G66" s="1">
        <f t="shared" si="0"/>
        <v>0</v>
      </c>
      <c r="H66" s="1"/>
      <c r="I66" s="1"/>
      <c r="J66" s="1"/>
      <c r="K66" s="1"/>
      <c r="L66" s="27" t="e">
        <f t="shared" si="3"/>
        <v>#DIV/0!</v>
      </c>
      <c r="M66" s="27" t="e">
        <f t="shared" si="3"/>
        <v>#DIV/0!</v>
      </c>
      <c r="N66" s="27" t="e">
        <f t="shared" si="3"/>
        <v>#DIV/0!</v>
      </c>
      <c r="O66" s="27" t="e">
        <f t="shared" si="3"/>
        <v>#DIV/0!</v>
      </c>
    </row>
    <row r="67" spans="1:15" x14ac:dyDescent="0.3">
      <c r="A67" s="1" t="s">
        <v>72</v>
      </c>
      <c r="B67" s="1"/>
      <c r="C67" s="1"/>
      <c r="D67" s="1"/>
      <c r="E67" s="1"/>
      <c r="F67" s="1"/>
      <c r="G67" s="1">
        <f t="shared" si="0"/>
        <v>0</v>
      </c>
      <c r="H67" s="1"/>
      <c r="I67" s="1"/>
      <c r="J67" s="1"/>
      <c r="K67" s="1"/>
      <c r="L67" s="27" t="e">
        <f t="shared" si="3"/>
        <v>#DIV/0!</v>
      </c>
      <c r="M67" s="27" t="e">
        <f t="shared" si="3"/>
        <v>#DIV/0!</v>
      </c>
      <c r="N67" s="27" t="e">
        <f t="shared" si="3"/>
        <v>#DIV/0!</v>
      </c>
      <c r="O67" s="27" t="e">
        <f t="shared" si="3"/>
        <v>#DIV/0!</v>
      </c>
    </row>
    <row r="68" spans="1:15" x14ac:dyDescent="0.3">
      <c r="A68" s="1" t="s">
        <v>73</v>
      </c>
      <c r="B68" s="1"/>
      <c r="C68" s="1"/>
      <c r="D68" s="1"/>
      <c r="E68" s="1"/>
      <c r="F68" s="1"/>
      <c r="G68" s="1">
        <f t="shared" ref="G68:G131" si="4">COUNTA(H68:K68)</f>
        <v>0</v>
      </c>
      <c r="H68" s="1"/>
      <c r="I68" s="1"/>
      <c r="J68" s="1"/>
      <c r="K68" s="1"/>
      <c r="L68" s="27" t="e">
        <f t="shared" ref="L68:O99" si="5">1/$G68</f>
        <v>#DIV/0!</v>
      </c>
      <c r="M68" s="27" t="e">
        <f t="shared" si="5"/>
        <v>#DIV/0!</v>
      </c>
      <c r="N68" s="27" t="e">
        <f t="shared" si="5"/>
        <v>#DIV/0!</v>
      </c>
      <c r="O68" s="27" t="e">
        <f t="shared" si="5"/>
        <v>#DIV/0!</v>
      </c>
    </row>
    <row r="69" spans="1:15" x14ac:dyDescent="0.3">
      <c r="A69" s="1" t="s">
        <v>74</v>
      </c>
      <c r="B69" s="1"/>
      <c r="C69" s="1"/>
      <c r="D69" s="1"/>
      <c r="E69" s="1"/>
      <c r="F69" s="1"/>
      <c r="G69" s="1">
        <f t="shared" si="4"/>
        <v>0</v>
      </c>
      <c r="H69" s="1"/>
      <c r="I69" s="1"/>
      <c r="J69" s="1"/>
      <c r="K69" s="1"/>
      <c r="L69" s="27" t="e">
        <f t="shared" si="5"/>
        <v>#DIV/0!</v>
      </c>
      <c r="M69" s="27" t="e">
        <f t="shared" si="5"/>
        <v>#DIV/0!</v>
      </c>
      <c r="N69" s="27" t="e">
        <f t="shared" si="5"/>
        <v>#DIV/0!</v>
      </c>
      <c r="O69" s="27" t="e">
        <f t="shared" si="5"/>
        <v>#DIV/0!</v>
      </c>
    </row>
    <row r="70" spans="1:15" x14ac:dyDescent="0.3">
      <c r="A70" s="1" t="s">
        <v>75</v>
      </c>
      <c r="B70" s="1"/>
      <c r="C70" s="1"/>
      <c r="D70" s="1"/>
      <c r="E70" s="1"/>
      <c r="F70" s="1"/>
      <c r="G70" s="1">
        <f t="shared" si="4"/>
        <v>0</v>
      </c>
      <c r="H70" s="1"/>
      <c r="I70" s="1"/>
      <c r="J70" s="1"/>
      <c r="K70" s="1"/>
      <c r="L70" s="27" t="e">
        <f t="shared" si="5"/>
        <v>#DIV/0!</v>
      </c>
      <c r="M70" s="27" t="e">
        <f t="shared" si="5"/>
        <v>#DIV/0!</v>
      </c>
      <c r="N70" s="27" t="e">
        <f t="shared" si="5"/>
        <v>#DIV/0!</v>
      </c>
      <c r="O70" s="27" t="e">
        <f t="shared" si="5"/>
        <v>#DIV/0!</v>
      </c>
    </row>
    <row r="71" spans="1:15" x14ac:dyDescent="0.3">
      <c r="A71" s="1" t="s">
        <v>76</v>
      </c>
      <c r="B71" s="1"/>
      <c r="C71" s="1"/>
      <c r="D71" s="1"/>
      <c r="E71" s="1"/>
      <c r="F71" s="1"/>
      <c r="G71" s="1">
        <f t="shared" si="4"/>
        <v>0</v>
      </c>
      <c r="H71" s="1"/>
      <c r="I71" s="1"/>
      <c r="J71" s="1"/>
      <c r="K71" s="1"/>
      <c r="L71" s="27" t="e">
        <f t="shared" si="5"/>
        <v>#DIV/0!</v>
      </c>
      <c r="M71" s="27" t="e">
        <f t="shared" si="5"/>
        <v>#DIV/0!</v>
      </c>
      <c r="N71" s="27" t="e">
        <f t="shared" si="5"/>
        <v>#DIV/0!</v>
      </c>
      <c r="O71" s="27" t="e">
        <f t="shared" si="5"/>
        <v>#DIV/0!</v>
      </c>
    </row>
    <row r="72" spans="1:15" x14ac:dyDescent="0.3">
      <c r="A72" s="1" t="s">
        <v>77</v>
      </c>
      <c r="B72" s="1"/>
      <c r="C72" s="1"/>
      <c r="D72" s="1"/>
      <c r="E72" s="1"/>
      <c r="F72" s="1"/>
      <c r="G72" s="1">
        <f t="shared" si="4"/>
        <v>0</v>
      </c>
      <c r="H72" s="1"/>
      <c r="I72" s="1"/>
      <c r="J72" s="1"/>
      <c r="K72" s="1"/>
      <c r="L72" s="27" t="e">
        <f t="shared" si="5"/>
        <v>#DIV/0!</v>
      </c>
      <c r="M72" s="27" t="e">
        <f t="shared" si="5"/>
        <v>#DIV/0!</v>
      </c>
      <c r="N72" s="27" t="e">
        <f t="shared" si="5"/>
        <v>#DIV/0!</v>
      </c>
      <c r="O72" s="27" t="e">
        <f t="shared" si="5"/>
        <v>#DIV/0!</v>
      </c>
    </row>
    <row r="73" spans="1:15" x14ac:dyDescent="0.3">
      <c r="A73" s="1" t="s">
        <v>78</v>
      </c>
      <c r="B73" s="1"/>
      <c r="C73" s="1"/>
      <c r="D73" s="1"/>
      <c r="E73" s="1"/>
      <c r="F73" s="1"/>
      <c r="G73" s="1">
        <f t="shared" si="4"/>
        <v>0</v>
      </c>
      <c r="H73" s="1"/>
      <c r="I73" s="1"/>
      <c r="J73" s="1"/>
      <c r="K73" s="1"/>
      <c r="L73" s="27" t="e">
        <f t="shared" si="5"/>
        <v>#DIV/0!</v>
      </c>
      <c r="M73" s="27" t="e">
        <f t="shared" si="5"/>
        <v>#DIV/0!</v>
      </c>
      <c r="N73" s="27" t="e">
        <f t="shared" si="5"/>
        <v>#DIV/0!</v>
      </c>
      <c r="O73" s="27" t="e">
        <f t="shared" si="5"/>
        <v>#DIV/0!</v>
      </c>
    </row>
    <row r="74" spans="1:15" x14ac:dyDescent="0.3">
      <c r="A74" s="1" t="s">
        <v>79</v>
      </c>
      <c r="B74" s="1"/>
      <c r="C74" s="1"/>
      <c r="D74" s="1"/>
      <c r="E74" s="1"/>
      <c r="F74" s="1"/>
      <c r="G74" s="1">
        <f t="shared" si="4"/>
        <v>0</v>
      </c>
      <c r="H74" s="1"/>
      <c r="I74" s="1"/>
      <c r="J74" s="1"/>
      <c r="K74" s="1"/>
      <c r="L74" s="27" t="e">
        <f t="shared" si="5"/>
        <v>#DIV/0!</v>
      </c>
      <c r="M74" s="27" t="e">
        <f t="shared" si="5"/>
        <v>#DIV/0!</v>
      </c>
      <c r="N74" s="27" t="e">
        <f t="shared" si="5"/>
        <v>#DIV/0!</v>
      </c>
      <c r="O74" s="27" t="e">
        <f t="shared" si="5"/>
        <v>#DIV/0!</v>
      </c>
    </row>
    <row r="75" spans="1:15" x14ac:dyDescent="0.3">
      <c r="A75" s="1" t="s">
        <v>80</v>
      </c>
      <c r="B75" s="1"/>
      <c r="C75" s="1"/>
      <c r="D75" s="1"/>
      <c r="E75" s="1"/>
      <c r="F75" s="1"/>
      <c r="G75" s="1">
        <f t="shared" si="4"/>
        <v>0</v>
      </c>
      <c r="H75" s="1"/>
      <c r="I75" s="1"/>
      <c r="J75" s="1"/>
      <c r="K75" s="1"/>
      <c r="L75" s="27" t="e">
        <f t="shared" si="5"/>
        <v>#DIV/0!</v>
      </c>
      <c r="M75" s="27" t="e">
        <f t="shared" si="5"/>
        <v>#DIV/0!</v>
      </c>
      <c r="N75" s="27" t="e">
        <f t="shared" si="5"/>
        <v>#DIV/0!</v>
      </c>
      <c r="O75" s="27" t="e">
        <f t="shared" si="5"/>
        <v>#DIV/0!</v>
      </c>
    </row>
    <row r="76" spans="1:15" x14ac:dyDescent="0.3">
      <c r="A76" s="1" t="s">
        <v>81</v>
      </c>
      <c r="B76" s="1"/>
      <c r="C76" s="1"/>
      <c r="D76" s="1"/>
      <c r="E76" s="1"/>
      <c r="F76" s="1"/>
      <c r="G76" s="1">
        <f t="shared" si="4"/>
        <v>0</v>
      </c>
      <c r="H76" s="1"/>
      <c r="I76" s="1"/>
      <c r="J76" s="1"/>
      <c r="K76" s="1"/>
      <c r="L76" s="27" t="e">
        <f t="shared" si="5"/>
        <v>#DIV/0!</v>
      </c>
      <c r="M76" s="27" t="e">
        <f t="shared" si="5"/>
        <v>#DIV/0!</v>
      </c>
      <c r="N76" s="27" t="e">
        <f t="shared" si="5"/>
        <v>#DIV/0!</v>
      </c>
      <c r="O76" s="27" t="e">
        <f t="shared" si="5"/>
        <v>#DIV/0!</v>
      </c>
    </row>
    <row r="77" spans="1:15" x14ac:dyDescent="0.3">
      <c r="A77" s="1" t="s">
        <v>82</v>
      </c>
      <c r="B77" s="1"/>
      <c r="C77" s="1"/>
      <c r="D77" s="1"/>
      <c r="E77" s="1"/>
      <c r="F77" s="1"/>
      <c r="G77" s="1">
        <f t="shared" si="4"/>
        <v>0</v>
      </c>
      <c r="H77" s="1"/>
      <c r="I77" s="1"/>
      <c r="J77" s="1"/>
      <c r="K77" s="1"/>
      <c r="L77" s="27" t="e">
        <f t="shared" si="5"/>
        <v>#DIV/0!</v>
      </c>
      <c r="M77" s="27" t="e">
        <f t="shared" si="5"/>
        <v>#DIV/0!</v>
      </c>
      <c r="N77" s="27" t="e">
        <f t="shared" si="5"/>
        <v>#DIV/0!</v>
      </c>
      <c r="O77" s="27" t="e">
        <f t="shared" si="5"/>
        <v>#DIV/0!</v>
      </c>
    </row>
    <row r="78" spans="1:15" x14ac:dyDescent="0.3">
      <c r="A78" s="1" t="s">
        <v>83</v>
      </c>
      <c r="B78" s="1"/>
      <c r="C78" s="1"/>
      <c r="D78" s="1"/>
      <c r="E78" s="1"/>
      <c r="F78" s="1"/>
      <c r="G78" s="1">
        <f t="shared" si="4"/>
        <v>0</v>
      </c>
      <c r="H78" s="1"/>
      <c r="I78" s="1"/>
      <c r="J78" s="1"/>
      <c r="K78" s="1"/>
      <c r="L78" s="27" t="e">
        <f t="shared" si="5"/>
        <v>#DIV/0!</v>
      </c>
      <c r="M78" s="27" t="e">
        <f t="shared" si="5"/>
        <v>#DIV/0!</v>
      </c>
      <c r="N78" s="27" t="e">
        <f t="shared" si="5"/>
        <v>#DIV/0!</v>
      </c>
      <c r="O78" s="27" t="e">
        <f t="shared" si="5"/>
        <v>#DIV/0!</v>
      </c>
    </row>
    <row r="79" spans="1:15" x14ac:dyDescent="0.3">
      <c r="A79" s="1" t="s">
        <v>84</v>
      </c>
      <c r="B79" s="1"/>
      <c r="C79" s="1"/>
      <c r="D79" s="1"/>
      <c r="E79" s="1"/>
      <c r="F79" s="1"/>
      <c r="G79" s="1">
        <f t="shared" si="4"/>
        <v>0</v>
      </c>
      <c r="H79" s="1"/>
      <c r="I79" s="1"/>
      <c r="J79" s="1"/>
      <c r="K79" s="1"/>
      <c r="L79" s="27" t="e">
        <f t="shared" si="5"/>
        <v>#DIV/0!</v>
      </c>
      <c r="M79" s="27" t="e">
        <f t="shared" si="5"/>
        <v>#DIV/0!</v>
      </c>
      <c r="N79" s="27" t="e">
        <f t="shared" si="5"/>
        <v>#DIV/0!</v>
      </c>
      <c r="O79" s="27" t="e">
        <f t="shared" si="5"/>
        <v>#DIV/0!</v>
      </c>
    </row>
    <row r="80" spans="1:15" x14ac:dyDescent="0.3">
      <c r="A80" s="1" t="s">
        <v>85</v>
      </c>
      <c r="B80" s="1"/>
      <c r="C80" s="1"/>
      <c r="D80" s="1"/>
      <c r="E80" s="1"/>
      <c r="F80" s="1"/>
      <c r="G80" s="1">
        <f t="shared" si="4"/>
        <v>0</v>
      </c>
      <c r="H80" s="1"/>
      <c r="I80" s="1"/>
      <c r="J80" s="1"/>
      <c r="K80" s="1"/>
      <c r="L80" s="27" t="e">
        <f t="shared" si="5"/>
        <v>#DIV/0!</v>
      </c>
      <c r="M80" s="27" t="e">
        <f t="shared" si="5"/>
        <v>#DIV/0!</v>
      </c>
      <c r="N80" s="27" t="e">
        <f t="shared" si="5"/>
        <v>#DIV/0!</v>
      </c>
      <c r="O80" s="27" t="e">
        <f t="shared" si="5"/>
        <v>#DIV/0!</v>
      </c>
    </row>
    <row r="81" spans="1:15" x14ac:dyDescent="0.3">
      <c r="A81" s="1" t="s">
        <v>86</v>
      </c>
      <c r="B81" s="1"/>
      <c r="C81" s="1"/>
      <c r="D81" s="1"/>
      <c r="E81" s="1"/>
      <c r="F81" s="1"/>
      <c r="G81" s="1">
        <f t="shared" si="4"/>
        <v>0</v>
      </c>
      <c r="H81" s="1"/>
      <c r="I81" s="1"/>
      <c r="J81" s="1"/>
      <c r="K81" s="1"/>
      <c r="L81" s="27" t="e">
        <f t="shared" si="5"/>
        <v>#DIV/0!</v>
      </c>
      <c r="M81" s="27" t="e">
        <f t="shared" si="5"/>
        <v>#DIV/0!</v>
      </c>
      <c r="N81" s="27" t="e">
        <f t="shared" si="5"/>
        <v>#DIV/0!</v>
      </c>
      <c r="O81" s="27" t="e">
        <f t="shared" si="5"/>
        <v>#DIV/0!</v>
      </c>
    </row>
    <row r="82" spans="1:15" x14ac:dyDescent="0.3">
      <c r="A82" s="1" t="s">
        <v>87</v>
      </c>
      <c r="B82" s="1"/>
      <c r="C82" s="1"/>
      <c r="D82" s="1"/>
      <c r="E82" s="1"/>
      <c r="F82" s="1"/>
      <c r="G82" s="1">
        <f t="shared" si="4"/>
        <v>0</v>
      </c>
      <c r="H82" s="1"/>
      <c r="I82" s="1"/>
      <c r="J82" s="1"/>
      <c r="K82" s="1"/>
      <c r="L82" s="27" t="e">
        <f t="shared" si="5"/>
        <v>#DIV/0!</v>
      </c>
      <c r="M82" s="27" t="e">
        <f t="shared" si="5"/>
        <v>#DIV/0!</v>
      </c>
      <c r="N82" s="27" t="e">
        <f t="shared" si="5"/>
        <v>#DIV/0!</v>
      </c>
      <c r="O82" s="27" t="e">
        <f t="shared" si="5"/>
        <v>#DIV/0!</v>
      </c>
    </row>
    <row r="83" spans="1:15" x14ac:dyDescent="0.3">
      <c r="A83" s="1" t="s">
        <v>88</v>
      </c>
      <c r="B83" s="1"/>
      <c r="C83" s="1"/>
      <c r="D83" s="1"/>
      <c r="E83" s="1"/>
      <c r="F83" s="1"/>
      <c r="G83" s="1">
        <f t="shared" si="4"/>
        <v>0</v>
      </c>
      <c r="H83" s="1"/>
      <c r="I83" s="1"/>
      <c r="J83" s="1"/>
      <c r="K83" s="1"/>
      <c r="L83" s="27" t="e">
        <f t="shared" si="5"/>
        <v>#DIV/0!</v>
      </c>
      <c r="M83" s="27" t="e">
        <f t="shared" si="5"/>
        <v>#DIV/0!</v>
      </c>
      <c r="N83" s="27" t="e">
        <f t="shared" si="5"/>
        <v>#DIV/0!</v>
      </c>
      <c r="O83" s="27" t="e">
        <f t="shared" si="5"/>
        <v>#DIV/0!</v>
      </c>
    </row>
    <row r="84" spans="1:15" x14ac:dyDescent="0.3">
      <c r="A84" s="1" t="s">
        <v>89</v>
      </c>
      <c r="B84" s="1"/>
      <c r="C84" s="1"/>
      <c r="D84" s="1"/>
      <c r="E84" s="1"/>
      <c r="F84" s="1"/>
      <c r="G84" s="1">
        <f t="shared" si="4"/>
        <v>0</v>
      </c>
      <c r="H84" s="1"/>
      <c r="I84" s="1"/>
      <c r="J84" s="1"/>
      <c r="K84" s="1"/>
      <c r="L84" s="27" t="e">
        <f t="shared" si="5"/>
        <v>#DIV/0!</v>
      </c>
      <c r="M84" s="27" t="e">
        <f t="shared" si="5"/>
        <v>#DIV/0!</v>
      </c>
      <c r="N84" s="27" t="e">
        <f t="shared" si="5"/>
        <v>#DIV/0!</v>
      </c>
      <c r="O84" s="27" t="e">
        <f t="shared" si="5"/>
        <v>#DIV/0!</v>
      </c>
    </row>
    <row r="85" spans="1:15" x14ac:dyDescent="0.3">
      <c r="A85" s="1" t="s">
        <v>90</v>
      </c>
      <c r="B85" s="1"/>
      <c r="C85" s="1"/>
      <c r="D85" s="1"/>
      <c r="E85" s="1"/>
      <c r="F85" s="1"/>
      <c r="G85" s="1">
        <f t="shared" si="4"/>
        <v>0</v>
      </c>
      <c r="H85" s="1"/>
      <c r="I85" s="1"/>
      <c r="J85" s="1"/>
      <c r="K85" s="1"/>
      <c r="L85" s="27" t="e">
        <f t="shared" si="5"/>
        <v>#DIV/0!</v>
      </c>
      <c r="M85" s="27" t="e">
        <f t="shared" si="5"/>
        <v>#DIV/0!</v>
      </c>
      <c r="N85" s="27" t="e">
        <f t="shared" si="5"/>
        <v>#DIV/0!</v>
      </c>
      <c r="O85" s="27" t="e">
        <f t="shared" si="5"/>
        <v>#DIV/0!</v>
      </c>
    </row>
    <row r="86" spans="1:15" x14ac:dyDescent="0.3">
      <c r="A86" s="1" t="s">
        <v>91</v>
      </c>
      <c r="B86" s="1"/>
      <c r="C86" s="1"/>
      <c r="D86" s="1"/>
      <c r="E86" s="1"/>
      <c r="F86" s="1"/>
      <c r="G86" s="1">
        <f t="shared" si="4"/>
        <v>0</v>
      </c>
      <c r="H86" s="1"/>
      <c r="I86" s="1"/>
      <c r="J86" s="1"/>
      <c r="K86" s="1"/>
      <c r="L86" s="27" t="e">
        <f t="shared" si="5"/>
        <v>#DIV/0!</v>
      </c>
      <c r="M86" s="27" t="e">
        <f t="shared" si="5"/>
        <v>#DIV/0!</v>
      </c>
      <c r="N86" s="27" t="e">
        <f t="shared" si="5"/>
        <v>#DIV/0!</v>
      </c>
      <c r="O86" s="27" t="e">
        <f t="shared" si="5"/>
        <v>#DIV/0!</v>
      </c>
    </row>
    <row r="87" spans="1:15" x14ac:dyDescent="0.3">
      <c r="A87" s="1" t="s">
        <v>92</v>
      </c>
      <c r="B87" s="1"/>
      <c r="C87" s="1"/>
      <c r="D87" s="1"/>
      <c r="E87" s="1"/>
      <c r="F87" s="1"/>
      <c r="G87" s="1">
        <f t="shared" si="4"/>
        <v>0</v>
      </c>
      <c r="H87" s="1"/>
      <c r="I87" s="1"/>
      <c r="J87" s="1"/>
      <c r="K87" s="1"/>
      <c r="L87" s="27" t="e">
        <f t="shared" si="5"/>
        <v>#DIV/0!</v>
      </c>
      <c r="M87" s="27" t="e">
        <f t="shared" si="5"/>
        <v>#DIV/0!</v>
      </c>
      <c r="N87" s="27" t="e">
        <f t="shared" si="5"/>
        <v>#DIV/0!</v>
      </c>
      <c r="O87" s="27" t="e">
        <f t="shared" si="5"/>
        <v>#DIV/0!</v>
      </c>
    </row>
    <row r="88" spans="1:15" x14ac:dyDescent="0.3">
      <c r="A88" s="1" t="s">
        <v>93</v>
      </c>
      <c r="B88" s="1"/>
      <c r="C88" s="1"/>
      <c r="D88" s="1"/>
      <c r="E88" s="1"/>
      <c r="F88" s="1"/>
      <c r="G88" s="1">
        <f t="shared" si="4"/>
        <v>0</v>
      </c>
      <c r="H88" s="1"/>
      <c r="I88" s="1"/>
      <c r="J88" s="1"/>
      <c r="K88" s="1"/>
      <c r="L88" s="27" t="e">
        <f t="shared" si="5"/>
        <v>#DIV/0!</v>
      </c>
      <c r="M88" s="27" t="e">
        <f t="shared" si="5"/>
        <v>#DIV/0!</v>
      </c>
      <c r="N88" s="27" t="e">
        <f t="shared" si="5"/>
        <v>#DIV/0!</v>
      </c>
      <c r="O88" s="27" t="e">
        <f t="shared" si="5"/>
        <v>#DIV/0!</v>
      </c>
    </row>
    <row r="89" spans="1:15" x14ac:dyDescent="0.3">
      <c r="A89" s="1" t="s">
        <v>94</v>
      </c>
      <c r="B89" s="1"/>
      <c r="C89" s="1"/>
      <c r="D89" s="1"/>
      <c r="E89" s="1"/>
      <c r="F89" s="1"/>
      <c r="G89" s="1">
        <f t="shared" si="4"/>
        <v>0</v>
      </c>
      <c r="H89" s="1"/>
      <c r="I89" s="1"/>
      <c r="J89" s="1"/>
      <c r="K89" s="1"/>
      <c r="L89" s="27" t="e">
        <f t="shared" si="5"/>
        <v>#DIV/0!</v>
      </c>
      <c r="M89" s="27" t="e">
        <f t="shared" si="5"/>
        <v>#DIV/0!</v>
      </c>
      <c r="N89" s="27" t="e">
        <f t="shared" si="5"/>
        <v>#DIV/0!</v>
      </c>
      <c r="O89" s="27" t="e">
        <f t="shared" si="5"/>
        <v>#DIV/0!</v>
      </c>
    </row>
    <row r="90" spans="1:15" x14ac:dyDescent="0.3">
      <c r="A90" s="1" t="s">
        <v>95</v>
      </c>
      <c r="B90" s="1"/>
      <c r="C90" s="1"/>
      <c r="D90" s="1"/>
      <c r="E90" s="1"/>
      <c r="F90" s="1"/>
      <c r="G90" s="1">
        <f t="shared" si="4"/>
        <v>0</v>
      </c>
      <c r="H90" s="1"/>
      <c r="I90" s="1"/>
      <c r="J90" s="1"/>
      <c r="K90" s="1"/>
      <c r="L90" s="27" t="e">
        <f t="shared" si="5"/>
        <v>#DIV/0!</v>
      </c>
      <c r="M90" s="27" t="e">
        <f t="shared" si="5"/>
        <v>#DIV/0!</v>
      </c>
      <c r="N90" s="27" t="e">
        <f t="shared" si="5"/>
        <v>#DIV/0!</v>
      </c>
      <c r="O90" s="27" t="e">
        <f t="shared" si="5"/>
        <v>#DIV/0!</v>
      </c>
    </row>
    <row r="91" spans="1:15" x14ac:dyDescent="0.3">
      <c r="A91" s="1" t="s">
        <v>96</v>
      </c>
      <c r="B91" s="1"/>
      <c r="C91" s="1"/>
      <c r="D91" s="1"/>
      <c r="E91" s="1"/>
      <c r="F91" s="1"/>
      <c r="G91" s="1">
        <f t="shared" si="4"/>
        <v>0</v>
      </c>
      <c r="H91" s="1"/>
      <c r="I91" s="1"/>
      <c r="J91" s="1"/>
      <c r="K91" s="1"/>
      <c r="L91" s="27" t="e">
        <f t="shared" si="5"/>
        <v>#DIV/0!</v>
      </c>
      <c r="M91" s="27" t="e">
        <f t="shared" si="5"/>
        <v>#DIV/0!</v>
      </c>
      <c r="N91" s="27" t="e">
        <f t="shared" si="5"/>
        <v>#DIV/0!</v>
      </c>
      <c r="O91" s="27" t="e">
        <f t="shared" si="5"/>
        <v>#DIV/0!</v>
      </c>
    </row>
    <row r="92" spans="1:15" x14ac:dyDescent="0.3">
      <c r="A92" s="1" t="s">
        <v>97</v>
      </c>
      <c r="B92" s="1"/>
      <c r="C92" s="1"/>
      <c r="D92" s="1"/>
      <c r="E92" s="1"/>
      <c r="F92" s="1"/>
      <c r="G92" s="1">
        <f t="shared" si="4"/>
        <v>0</v>
      </c>
      <c r="H92" s="1"/>
      <c r="I92" s="1"/>
      <c r="J92" s="1"/>
      <c r="K92" s="1"/>
      <c r="L92" s="27" t="e">
        <f t="shared" si="5"/>
        <v>#DIV/0!</v>
      </c>
      <c r="M92" s="27" t="e">
        <f t="shared" si="5"/>
        <v>#DIV/0!</v>
      </c>
      <c r="N92" s="27" t="e">
        <f t="shared" si="5"/>
        <v>#DIV/0!</v>
      </c>
      <c r="O92" s="27" t="e">
        <f t="shared" si="5"/>
        <v>#DIV/0!</v>
      </c>
    </row>
    <row r="93" spans="1:15" x14ac:dyDescent="0.3">
      <c r="A93" s="1" t="s">
        <v>98</v>
      </c>
      <c r="B93" s="1"/>
      <c r="C93" s="1"/>
      <c r="D93" s="1"/>
      <c r="E93" s="1"/>
      <c r="F93" s="1"/>
      <c r="G93" s="1">
        <f t="shared" si="4"/>
        <v>0</v>
      </c>
      <c r="H93" s="1"/>
      <c r="I93" s="1"/>
      <c r="J93" s="1"/>
      <c r="K93" s="1"/>
      <c r="L93" s="27" t="e">
        <f t="shared" si="5"/>
        <v>#DIV/0!</v>
      </c>
      <c r="M93" s="27" t="e">
        <f t="shared" si="5"/>
        <v>#DIV/0!</v>
      </c>
      <c r="N93" s="27" t="e">
        <f t="shared" si="5"/>
        <v>#DIV/0!</v>
      </c>
      <c r="O93" s="27" t="e">
        <f t="shared" si="5"/>
        <v>#DIV/0!</v>
      </c>
    </row>
    <row r="94" spans="1:15" x14ac:dyDescent="0.3">
      <c r="A94" s="1" t="s">
        <v>99</v>
      </c>
      <c r="B94" s="1"/>
      <c r="C94" s="1"/>
      <c r="D94" s="1"/>
      <c r="E94" s="1"/>
      <c r="F94" s="1"/>
      <c r="G94" s="1">
        <f t="shared" si="4"/>
        <v>0</v>
      </c>
      <c r="H94" s="1"/>
      <c r="I94" s="1"/>
      <c r="J94" s="1"/>
      <c r="K94" s="1"/>
      <c r="L94" s="27" t="e">
        <f t="shared" si="5"/>
        <v>#DIV/0!</v>
      </c>
      <c r="M94" s="27" t="e">
        <f t="shared" si="5"/>
        <v>#DIV/0!</v>
      </c>
      <c r="N94" s="27" t="e">
        <f t="shared" si="5"/>
        <v>#DIV/0!</v>
      </c>
      <c r="O94" s="27" t="e">
        <f t="shared" si="5"/>
        <v>#DIV/0!</v>
      </c>
    </row>
    <row r="95" spans="1:15" x14ac:dyDescent="0.3">
      <c r="A95" s="1" t="s">
        <v>100</v>
      </c>
      <c r="B95" s="1"/>
      <c r="C95" s="1"/>
      <c r="D95" s="1"/>
      <c r="E95" s="1"/>
      <c r="F95" s="1"/>
      <c r="G95" s="1">
        <f t="shared" si="4"/>
        <v>0</v>
      </c>
      <c r="H95" s="1"/>
      <c r="I95" s="1"/>
      <c r="J95" s="1"/>
      <c r="K95" s="1"/>
      <c r="L95" s="27" t="e">
        <f t="shared" si="5"/>
        <v>#DIV/0!</v>
      </c>
      <c r="M95" s="27" t="e">
        <f t="shared" si="5"/>
        <v>#DIV/0!</v>
      </c>
      <c r="N95" s="27" t="e">
        <f t="shared" si="5"/>
        <v>#DIV/0!</v>
      </c>
      <c r="O95" s="27" t="e">
        <f t="shared" si="5"/>
        <v>#DIV/0!</v>
      </c>
    </row>
    <row r="96" spans="1:15" x14ac:dyDescent="0.3">
      <c r="A96" s="1" t="s">
        <v>101</v>
      </c>
      <c r="B96" s="1"/>
      <c r="C96" s="1"/>
      <c r="D96" s="1"/>
      <c r="E96" s="1"/>
      <c r="F96" s="1"/>
      <c r="G96" s="1">
        <f t="shared" si="4"/>
        <v>0</v>
      </c>
      <c r="H96" s="1"/>
      <c r="I96" s="1"/>
      <c r="J96" s="1"/>
      <c r="K96" s="1"/>
      <c r="L96" s="27" t="e">
        <f t="shared" si="5"/>
        <v>#DIV/0!</v>
      </c>
      <c r="M96" s="27" t="e">
        <f t="shared" si="5"/>
        <v>#DIV/0!</v>
      </c>
      <c r="N96" s="27" t="e">
        <f t="shared" si="5"/>
        <v>#DIV/0!</v>
      </c>
      <c r="O96" s="27" t="e">
        <f t="shared" si="5"/>
        <v>#DIV/0!</v>
      </c>
    </row>
    <row r="97" spans="1:15" x14ac:dyDescent="0.3">
      <c r="A97" s="1" t="s">
        <v>102</v>
      </c>
      <c r="B97" s="1"/>
      <c r="C97" s="1"/>
      <c r="D97" s="1"/>
      <c r="E97" s="1"/>
      <c r="F97" s="1"/>
      <c r="G97" s="1">
        <f t="shared" si="4"/>
        <v>0</v>
      </c>
      <c r="H97" s="1"/>
      <c r="I97" s="1"/>
      <c r="J97" s="1"/>
      <c r="K97" s="1"/>
      <c r="L97" s="27" t="e">
        <f t="shared" si="5"/>
        <v>#DIV/0!</v>
      </c>
      <c r="M97" s="27" t="e">
        <f t="shared" si="5"/>
        <v>#DIV/0!</v>
      </c>
      <c r="N97" s="27" t="e">
        <f t="shared" si="5"/>
        <v>#DIV/0!</v>
      </c>
      <c r="O97" s="27" t="e">
        <f t="shared" si="5"/>
        <v>#DIV/0!</v>
      </c>
    </row>
    <row r="98" spans="1:15" x14ac:dyDescent="0.3">
      <c r="A98" s="1" t="s">
        <v>103</v>
      </c>
      <c r="B98" s="1"/>
      <c r="C98" s="1"/>
      <c r="D98" s="1"/>
      <c r="E98" s="1"/>
      <c r="F98" s="1"/>
      <c r="G98" s="1">
        <f t="shared" si="4"/>
        <v>0</v>
      </c>
      <c r="H98" s="1"/>
      <c r="I98" s="1"/>
      <c r="J98" s="1"/>
      <c r="K98" s="1"/>
      <c r="L98" s="27" t="e">
        <f t="shared" si="5"/>
        <v>#DIV/0!</v>
      </c>
      <c r="M98" s="27" t="e">
        <f t="shared" si="5"/>
        <v>#DIV/0!</v>
      </c>
      <c r="N98" s="27" t="e">
        <f t="shared" si="5"/>
        <v>#DIV/0!</v>
      </c>
      <c r="O98" s="27" t="e">
        <f t="shared" si="5"/>
        <v>#DIV/0!</v>
      </c>
    </row>
    <row r="99" spans="1:15" x14ac:dyDescent="0.3">
      <c r="A99" s="1" t="s">
        <v>104</v>
      </c>
      <c r="B99" s="1"/>
      <c r="C99" s="1"/>
      <c r="D99" s="1"/>
      <c r="E99" s="1"/>
      <c r="F99" s="1"/>
      <c r="G99" s="1">
        <f t="shared" si="4"/>
        <v>0</v>
      </c>
      <c r="H99" s="1"/>
      <c r="I99" s="1"/>
      <c r="J99" s="1"/>
      <c r="K99" s="1"/>
      <c r="L99" s="27" t="e">
        <f t="shared" si="5"/>
        <v>#DIV/0!</v>
      </c>
      <c r="M99" s="27" t="e">
        <f t="shared" si="5"/>
        <v>#DIV/0!</v>
      </c>
      <c r="N99" s="27" t="e">
        <f t="shared" si="5"/>
        <v>#DIV/0!</v>
      </c>
      <c r="O99" s="27" t="e">
        <f t="shared" si="5"/>
        <v>#DIV/0!</v>
      </c>
    </row>
    <row r="100" spans="1:15" x14ac:dyDescent="0.3">
      <c r="A100" s="1" t="s">
        <v>105</v>
      </c>
      <c r="B100" s="1"/>
      <c r="C100" s="1"/>
      <c r="D100" s="1"/>
      <c r="E100" s="1"/>
      <c r="F100" s="1"/>
      <c r="G100" s="1">
        <f t="shared" si="4"/>
        <v>0</v>
      </c>
      <c r="H100" s="1"/>
      <c r="I100" s="1"/>
      <c r="J100" s="1"/>
      <c r="K100" s="1"/>
      <c r="L100" s="27" t="e">
        <f t="shared" ref="L100:O132" si="6">1/$G100</f>
        <v>#DIV/0!</v>
      </c>
      <c r="M100" s="27" t="e">
        <f t="shared" si="6"/>
        <v>#DIV/0!</v>
      </c>
      <c r="N100" s="27" t="e">
        <f t="shared" si="6"/>
        <v>#DIV/0!</v>
      </c>
      <c r="O100" s="27" t="e">
        <f t="shared" si="6"/>
        <v>#DIV/0!</v>
      </c>
    </row>
    <row r="101" spans="1:15" x14ac:dyDescent="0.3">
      <c r="A101" s="1" t="s">
        <v>106</v>
      </c>
      <c r="B101" s="1"/>
      <c r="C101" s="1"/>
      <c r="D101" s="1"/>
      <c r="E101" s="1"/>
      <c r="F101" s="1"/>
      <c r="G101" s="1">
        <f t="shared" si="4"/>
        <v>0</v>
      </c>
      <c r="H101" s="1"/>
      <c r="I101" s="1"/>
      <c r="J101" s="1"/>
      <c r="K101" s="1"/>
      <c r="L101" s="27" t="e">
        <f t="shared" si="6"/>
        <v>#DIV/0!</v>
      </c>
      <c r="M101" s="27" t="e">
        <f t="shared" si="6"/>
        <v>#DIV/0!</v>
      </c>
      <c r="N101" s="27" t="e">
        <f t="shared" si="6"/>
        <v>#DIV/0!</v>
      </c>
      <c r="O101" s="27" t="e">
        <f t="shared" si="6"/>
        <v>#DIV/0!</v>
      </c>
    </row>
    <row r="102" spans="1:15" x14ac:dyDescent="0.3">
      <c r="A102" s="1" t="s">
        <v>107</v>
      </c>
      <c r="B102" s="1"/>
      <c r="C102" s="1"/>
      <c r="D102" s="1"/>
      <c r="E102" s="1"/>
      <c r="F102" s="1"/>
      <c r="G102" s="1">
        <f t="shared" si="4"/>
        <v>0</v>
      </c>
      <c r="H102" s="1"/>
      <c r="I102" s="1"/>
      <c r="J102" s="1"/>
      <c r="K102" s="1"/>
      <c r="L102" s="27" t="e">
        <f t="shared" si="6"/>
        <v>#DIV/0!</v>
      </c>
      <c r="M102" s="27" t="e">
        <f t="shared" si="6"/>
        <v>#DIV/0!</v>
      </c>
      <c r="N102" s="27" t="e">
        <f t="shared" si="6"/>
        <v>#DIV/0!</v>
      </c>
      <c r="O102" s="27" t="e">
        <f t="shared" si="6"/>
        <v>#DIV/0!</v>
      </c>
    </row>
    <row r="103" spans="1:15" x14ac:dyDescent="0.3">
      <c r="A103" s="1" t="s">
        <v>108</v>
      </c>
      <c r="B103" s="1"/>
      <c r="C103" s="1"/>
      <c r="D103" s="1"/>
      <c r="E103" s="1"/>
      <c r="F103" s="1"/>
      <c r="G103" s="1">
        <f t="shared" si="4"/>
        <v>0</v>
      </c>
      <c r="H103" s="1"/>
      <c r="I103" s="1"/>
      <c r="J103" s="1"/>
      <c r="K103" s="1"/>
      <c r="L103" s="27" t="e">
        <f t="shared" si="6"/>
        <v>#DIV/0!</v>
      </c>
      <c r="M103" s="27" t="e">
        <f t="shared" si="6"/>
        <v>#DIV/0!</v>
      </c>
      <c r="N103" s="27" t="e">
        <f t="shared" si="6"/>
        <v>#DIV/0!</v>
      </c>
      <c r="O103" s="27" t="e">
        <f t="shared" si="6"/>
        <v>#DIV/0!</v>
      </c>
    </row>
    <row r="104" spans="1:15" x14ac:dyDescent="0.3">
      <c r="A104" s="1" t="s">
        <v>109</v>
      </c>
      <c r="B104" s="1"/>
      <c r="C104" s="1"/>
      <c r="D104" s="1"/>
      <c r="E104" s="1"/>
      <c r="F104" s="1"/>
      <c r="G104" s="1">
        <f t="shared" si="4"/>
        <v>0</v>
      </c>
      <c r="H104" s="1"/>
      <c r="I104" s="1"/>
      <c r="J104" s="1"/>
      <c r="K104" s="1"/>
      <c r="L104" s="27" t="e">
        <f t="shared" si="6"/>
        <v>#DIV/0!</v>
      </c>
      <c r="M104" s="27" t="e">
        <f t="shared" si="6"/>
        <v>#DIV/0!</v>
      </c>
      <c r="N104" s="27" t="e">
        <f t="shared" si="6"/>
        <v>#DIV/0!</v>
      </c>
      <c r="O104" s="27" t="e">
        <f t="shared" si="6"/>
        <v>#DIV/0!</v>
      </c>
    </row>
    <row r="105" spans="1:15" x14ac:dyDescent="0.3">
      <c r="A105" s="1" t="s">
        <v>110</v>
      </c>
      <c r="B105" s="1"/>
      <c r="C105" s="1"/>
      <c r="D105" s="1"/>
      <c r="E105" s="1"/>
      <c r="F105" s="1"/>
      <c r="G105" s="1">
        <f t="shared" si="4"/>
        <v>0</v>
      </c>
      <c r="H105" s="1"/>
      <c r="I105" s="1"/>
      <c r="J105" s="1"/>
      <c r="K105" s="1"/>
      <c r="L105" s="27" t="e">
        <f t="shared" si="6"/>
        <v>#DIV/0!</v>
      </c>
      <c r="M105" s="27" t="e">
        <f t="shared" si="6"/>
        <v>#DIV/0!</v>
      </c>
      <c r="N105" s="27" t="e">
        <f t="shared" si="6"/>
        <v>#DIV/0!</v>
      </c>
      <c r="O105" s="27" t="e">
        <f t="shared" si="6"/>
        <v>#DIV/0!</v>
      </c>
    </row>
    <row r="106" spans="1:15" x14ac:dyDescent="0.3">
      <c r="A106" s="1" t="s">
        <v>111</v>
      </c>
      <c r="B106" s="1"/>
      <c r="C106" s="1"/>
      <c r="D106" s="1"/>
      <c r="E106" s="1"/>
      <c r="F106" s="1"/>
      <c r="G106" s="1">
        <f t="shared" si="4"/>
        <v>0</v>
      </c>
      <c r="H106" s="1"/>
      <c r="I106" s="1"/>
      <c r="J106" s="1"/>
      <c r="K106" s="1"/>
      <c r="L106" s="27" t="e">
        <f t="shared" si="6"/>
        <v>#DIV/0!</v>
      </c>
      <c r="M106" s="27" t="e">
        <f t="shared" si="6"/>
        <v>#DIV/0!</v>
      </c>
      <c r="N106" s="27" t="e">
        <f t="shared" si="6"/>
        <v>#DIV/0!</v>
      </c>
      <c r="O106" s="27" t="e">
        <f t="shared" si="6"/>
        <v>#DIV/0!</v>
      </c>
    </row>
    <row r="107" spans="1:15" x14ac:dyDescent="0.3">
      <c r="A107" s="1" t="s">
        <v>112</v>
      </c>
      <c r="B107" s="1"/>
      <c r="C107" s="1"/>
      <c r="D107" s="1"/>
      <c r="E107" s="1"/>
      <c r="F107" s="1"/>
      <c r="G107" s="1">
        <f t="shared" si="4"/>
        <v>0</v>
      </c>
      <c r="H107" s="1"/>
      <c r="I107" s="1"/>
      <c r="J107" s="1"/>
      <c r="K107" s="1"/>
      <c r="L107" s="27" t="e">
        <f t="shared" si="6"/>
        <v>#DIV/0!</v>
      </c>
      <c r="M107" s="27" t="e">
        <f t="shared" si="6"/>
        <v>#DIV/0!</v>
      </c>
      <c r="N107" s="27" t="e">
        <f t="shared" si="6"/>
        <v>#DIV/0!</v>
      </c>
      <c r="O107" s="27" t="e">
        <f t="shared" si="6"/>
        <v>#DIV/0!</v>
      </c>
    </row>
    <row r="108" spans="1:15" x14ac:dyDescent="0.3">
      <c r="A108" s="1" t="s">
        <v>113</v>
      </c>
      <c r="B108" s="1"/>
      <c r="C108" s="1"/>
      <c r="D108" s="1"/>
      <c r="E108" s="1"/>
      <c r="F108" s="1"/>
      <c r="G108" s="1">
        <f t="shared" si="4"/>
        <v>0</v>
      </c>
      <c r="H108" s="1"/>
      <c r="I108" s="1"/>
      <c r="J108" s="1"/>
      <c r="K108" s="1"/>
      <c r="L108" s="27" t="e">
        <f t="shared" si="6"/>
        <v>#DIV/0!</v>
      </c>
      <c r="M108" s="27" t="e">
        <f t="shared" si="6"/>
        <v>#DIV/0!</v>
      </c>
      <c r="N108" s="27" t="e">
        <f t="shared" si="6"/>
        <v>#DIV/0!</v>
      </c>
      <c r="O108" s="27" t="e">
        <f t="shared" si="6"/>
        <v>#DIV/0!</v>
      </c>
    </row>
    <row r="109" spans="1:15" x14ac:dyDescent="0.3">
      <c r="A109" s="1" t="s">
        <v>114</v>
      </c>
      <c r="B109" s="1"/>
      <c r="C109" s="1"/>
      <c r="D109" s="1"/>
      <c r="E109" s="1"/>
      <c r="F109" s="1"/>
      <c r="G109" s="1">
        <f t="shared" si="4"/>
        <v>0</v>
      </c>
      <c r="H109" s="1"/>
      <c r="I109" s="1"/>
      <c r="J109" s="1"/>
      <c r="K109" s="1"/>
      <c r="L109" s="27" t="e">
        <f t="shared" si="6"/>
        <v>#DIV/0!</v>
      </c>
      <c r="M109" s="27" t="e">
        <f t="shared" si="6"/>
        <v>#DIV/0!</v>
      </c>
      <c r="N109" s="27" t="e">
        <f t="shared" si="6"/>
        <v>#DIV/0!</v>
      </c>
      <c r="O109" s="27" t="e">
        <f t="shared" si="6"/>
        <v>#DIV/0!</v>
      </c>
    </row>
    <row r="110" spans="1:15" x14ac:dyDescent="0.3">
      <c r="A110" s="1" t="s">
        <v>115</v>
      </c>
      <c r="B110" s="1"/>
      <c r="C110" s="1"/>
      <c r="D110" s="1"/>
      <c r="E110" s="1"/>
      <c r="F110" s="1"/>
      <c r="G110" s="1">
        <f t="shared" si="4"/>
        <v>0</v>
      </c>
      <c r="H110" s="1"/>
      <c r="I110" s="1"/>
      <c r="J110" s="1"/>
      <c r="K110" s="1"/>
      <c r="L110" s="27" t="e">
        <f t="shared" si="6"/>
        <v>#DIV/0!</v>
      </c>
      <c r="M110" s="27" t="e">
        <f t="shared" si="6"/>
        <v>#DIV/0!</v>
      </c>
      <c r="N110" s="27" t="e">
        <f t="shared" si="6"/>
        <v>#DIV/0!</v>
      </c>
      <c r="O110" s="27" t="e">
        <f t="shared" si="6"/>
        <v>#DIV/0!</v>
      </c>
    </row>
    <row r="111" spans="1:15" x14ac:dyDescent="0.3">
      <c r="A111" s="1" t="s">
        <v>116</v>
      </c>
      <c r="B111" s="1"/>
      <c r="C111" s="1"/>
      <c r="D111" s="1"/>
      <c r="E111" s="1"/>
      <c r="F111" s="1"/>
      <c r="G111" s="1">
        <f t="shared" si="4"/>
        <v>0</v>
      </c>
      <c r="H111" s="1"/>
      <c r="I111" s="1"/>
      <c r="J111" s="1"/>
      <c r="K111" s="1"/>
      <c r="L111" s="27" t="e">
        <f t="shared" si="6"/>
        <v>#DIV/0!</v>
      </c>
      <c r="M111" s="27" t="e">
        <f t="shared" si="6"/>
        <v>#DIV/0!</v>
      </c>
      <c r="N111" s="27" t="e">
        <f t="shared" si="6"/>
        <v>#DIV/0!</v>
      </c>
      <c r="O111" s="27" t="e">
        <f t="shared" si="6"/>
        <v>#DIV/0!</v>
      </c>
    </row>
    <row r="112" spans="1:15" x14ac:dyDescent="0.3">
      <c r="A112" s="1" t="s">
        <v>117</v>
      </c>
      <c r="B112" s="1"/>
      <c r="C112" s="1"/>
      <c r="D112" s="1"/>
      <c r="E112" s="1"/>
      <c r="F112" s="1"/>
      <c r="G112" s="1">
        <f t="shared" si="4"/>
        <v>0</v>
      </c>
      <c r="H112" s="1"/>
      <c r="I112" s="1"/>
      <c r="J112" s="1"/>
      <c r="K112" s="1"/>
      <c r="L112" s="27" t="e">
        <f t="shared" si="6"/>
        <v>#DIV/0!</v>
      </c>
      <c r="M112" s="27" t="e">
        <f t="shared" si="6"/>
        <v>#DIV/0!</v>
      </c>
      <c r="N112" s="27" t="e">
        <f t="shared" si="6"/>
        <v>#DIV/0!</v>
      </c>
      <c r="O112" s="27" t="e">
        <f t="shared" si="6"/>
        <v>#DIV/0!</v>
      </c>
    </row>
    <row r="113" spans="1:15" x14ac:dyDescent="0.3">
      <c r="A113" s="1" t="s">
        <v>118</v>
      </c>
      <c r="B113" s="1"/>
      <c r="C113" s="1"/>
      <c r="D113" s="1"/>
      <c r="E113" s="1"/>
      <c r="F113" s="1"/>
      <c r="G113" s="1">
        <f t="shared" si="4"/>
        <v>0</v>
      </c>
      <c r="H113" s="1"/>
      <c r="I113" s="1"/>
      <c r="J113" s="1"/>
      <c r="K113" s="1"/>
      <c r="L113" s="27" t="e">
        <f t="shared" si="6"/>
        <v>#DIV/0!</v>
      </c>
      <c r="M113" s="27" t="e">
        <f t="shared" si="6"/>
        <v>#DIV/0!</v>
      </c>
      <c r="N113" s="27" t="e">
        <f t="shared" si="6"/>
        <v>#DIV/0!</v>
      </c>
      <c r="O113" s="27" t="e">
        <f t="shared" si="6"/>
        <v>#DIV/0!</v>
      </c>
    </row>
    <row r="114" spans="1:15" x14ac:dyDescent="0.3">
      <c r="A114" s="1" t="s">
        <v>119</v>
      </c>
      <c r="B114" s="1"/>
      <c r="C114" s="1"/>
      <c r="D114" s="1"/>
      <c r="E114" s="1"/>
      <c r="F114" s="1"/>
      <c r="G114" s="1">
        <f t="shared" si="4"/>
        <v>0</v>
      </c>
      <c r="H114" s="1"/>
      <c r="I114" s="1"/>
      <c r="J114" s="1"/>
      <c r="K114" s="1"/>
      <c r="L114" s="27" t="e">
        <f t="shared" si="6"/>
        <v>#DIV/0!</v>
      </c>
      <c r="M114" s="27" t="e">
        <f t="shared" si="6"/>
        <v>#DIV/0!</v>
      </c>
      <c r="N114" s="27" t="e">
        <f t="shared" si="6"/>
        <v>#DIV/0!</v>
      </c>
      <c r="O114" s="27" t="e">
        <f t="shared" si="6"/>
        <v>#DIV/0!</v>
      </c>
    </row>
    <row r="115" spans="1:15" x14ac:dyDescent="0.3">
      <c r="A115" s="1" t="s">
        <v>120</v>
      </c>
      <c r="B115" s="1"/>
      <c r="C115" s="1"/>
      <c r="D115" s="1"/>
      <c r="E115" s="1"/>
      <c r="F115" s="1"/>
      <c r="G115" s="1">
        <f t="shared" si="4"/>
        <v>0</v>
      </c>
      <c r="H115" s="1"/>
      <c r="I115" s="1"/>
      <c r="J115" s="1"/>
      <c r="K115" s="1"/>
      <c r="L115" s="27" t="e">
        <f t="shared" si="6"/>
        <v>#DIV/0!</v>
      </c>
      <c r="M115" s="27" t="e">
        <f t="shared" si="6"/>
        <v>#DIV/0!</v>
      </c>
      <c r="N115" s="27" t="e">
        <f t="shared" si="6"/>
        <v>#DIV/0!</v>
      </c>
      <c r="O115" s="27" t="e">
        <f t="shared" si="6"/>
        <v>#DIV/0!</v>
      </c>
    </row>
    <row r="116" spans="1:15" x14ac:dyDescent="0.3">
      <c r="A116" s="1" t="s">
        <v>121</v>
      </c>
      <c r="B116" s="1"/>
      <c r="C116" s="1"/>
      <c r="D116" s="1"/>
      <c r="E116" s="1"/>
      <c r="F116" s="1"/>
      <c r="G116" s="1">
        <f t="shared" si="4"/>
        <v>0</v>
      </c>
      <c r="H116" s="1"/>
      <c r="I116" s="1"/>
      <c r="J116" s="1"/>
      <c r="K116" s="1"/>
      <c r="L116" s="27" t="e">
        <f t="shared" si="6"/>
        <v>#DIV/0!</v>
      </c>
      <c r="M116" s="27" t="e">
        <f t="shared" si="6"/>
        <v>#DIV/0!</v>
      </c>
      <c r="N116" s="27" t="e">
        <f t="shared" si="6"/>
        <v>#DIV/0!</v>
      </c>
      <c r="O116" s="27" t="e">
        <f t="shared" si="6"/>
        <v>#DIV/0!</v>
      </c>
    </row>
    <row r="117" spans="1:15" x14ac:dyDescent="0.3">
      <c r="A117" s="1" t="s">
        <v>122</v>
      </c>
      <c r="B117" s="1"/>
      <c r="C117" s="1"/>
      <c r="D117" s="1"/>
      <c r="E117" s="1"/>
      <c r="F117" s="1"/>
      <c r="G117" s="1">
        <f t="shared" si="4"/>
        <v>0</v>
      </c>
      <c r="H117" s="1"/>
      <c r="I117" s="1"/>
      <c r="J117" s="1"/>
      <c r="K117" s="1"/>
      <c r="L117" s="27" t="e">
        <f t="shared" si="6"/>
        <v>#DIV/0!</v>
      </c>
      <c r="M117" s="27" t="e">
        <f t="shared" si="6"/>
        <v>#DIV/0!</v>
      </c>
      <c r="N117" s="27" t="e">
        <f t="shared" si="6"/>
        <v>#DIV/0!</v>
      </c>
      <c r="O117" s="27" t="e">
        <f t="shared" si="6"/>
        <v>#DIV/0!</v>
      </c>
    </row>
    <row r="118" spans="1:15" x14ac:dyDescent="0.3">
      <c r="A118" s="1" t="s">
        <v>123</v>
      </c>
      <c r="B118" s="1"/>
      <c r="C118" s="1"/>
      <c r="D118" s="1"/>
      <c r="E118" s="1"/>
      <c r="F118" s="1"/>
      <c r="G118" s="1">
        <f t="shared" si="4"/>
        <v>0</v>
      </c>
      <c r="H118" s="1"/>
      <c r="I118" s="1"/>
      <c r="J118" s="1"/>
      <c r="K118" s="1"/>
      <c r="L118" s="27" t="e">
        <f t="shared" si="6"/>
        <v>#DIV/0!</v>
      </c>
      <c r="M118" s="27" t="e">
        <f t="shared" si="6"/>
        <v>#DIV/0!</v>
      </c>
      <c r="N118" s="27" t="e">
        <f t="shared" si="6"/>
        <v>#DIV/0!</v>
      </c>
      <c r="O118" s="27" t="e">
        <f t="shared" si="6"/>
        <v>#DIV/0!</v>
      </c>
    </row>
    <row r="119" spans="1:15" x14ac:dyDescent="0.3">
      <c r="A119" s="1" t="s">
        <v>124</v>
      </c>
      <c r="B119" s="1"/>
      <c r="C119" s="1"/>
      <c r="D119" s="1"/>
      <c r="E119" s="1"/>
      <c r="F119" s="1"/>
      <c r="G119" s="1">
        <f t="shared" si="4"/>
        <v>0</v>
      </c>
      <c r="H119" s="1"/>
      <c r="I119" s="1"/>
      <c r="J119" s="1"/>
      <c r="K119" s="1"/>
      <c r="L119" s="27" t="e">
        <f t="shared" si="6"/>
        <v>#DIV/0!</v>
      </c>
      <c r="M119" s="27" t="e">
        <f t="shared" si="6"/>
        <v>#DIV/0!</v>
      </c>
      <c r="N119" s="27" t="e">
        <f t="shared" si="6"/>
        <v>#DIV/0!</v>
      </c>
      <c r="O119" s="27" t="e">
        <f t="shared" si="6"/>
        <v>#DIV/0!</v>
      </c>
    </row>
    <row r="120" spans="1:15" x14ac:dyDescent="0.3">
      <c r="A120" s="1" t="s">
        <v>125</v>
      </c>
      <c r="B120" s="1"/>
      <c r="C120" s="1"/>
      <c r="D120" s="1"/>
      <c r="E120" s="1"/>
      <c r="F120" s="1"/>
      <c r="G120" s="1">
        <f t="shared" si="4"/>
        <v>0</v>
      </c>
      <c r="H120" s="1"/>
      <c r="I120" s="1"/>
      <c r="J120" s="1"/>
      <c r="K120" s="1"/>
      <c r="L120" s="27" t="e">
        <f t="shared" si="6"/>
        <v>#DIV/0!</v>
      </c>
      <c r="M120" s="27" t="e">
        <f t="shared" si="6"/>
        <v>#DIV/0!</v>
      </c>
      <c r="N120" s="27" t="e">
        <f t="shared" si="6"/>
        <v>#DIV/0!</v>
      </c>
      <c r="O120" s="27" t="e">
        <f t="shared" si="6"/>
        <v>#DIV/0!</v>
      </c>
    </row>
    <row r="121" spans="1:15" x14ac:dyDescent="0.3">
      <c r="A121" s="1" t="s">
        <v>126</v>
      </c>
      <c r="B121" s="1"/>
      <c r="C121" s="1"/>
      <c r="D121" s="1"/>
      <c r="E121" s="1"/>
      <c r="F121" s="1"/>
      <c r="G121" s="1">
        <f t="shared" si="4"/>
        <v>0</v>
      </c>
      <c r="H121" s="1"/>
      <c r="I121" s="1"/>
      <c r="J121" s="1"/>
      <c r="K121" s="1"/>
      <c r="L121" s="27" t="e">
        <f t="shared" si="6"/>
        <v>#DIV/0!</v>
      </c>
      <c r="M121" s="27" t="e">
        <f t="shared" si="6"/>
        <v>#DIV/0!</v>
      </c>
      <c r="N121" s="27" t="e">
        <f t="shared" si="6"/>
        <v>#DIV/0!</v>
      </c>
      <c r="O121" s="27" t="e">
        <f t="shared" si="6"/>
        <v>#DIV/0!</v>
      </c>
    </row>
    <row r="122" spans="1:15" x14ac:dyDescent="0.3">
      <c r="A122" s="1" t="s">
        <v>127</v>
      </c>
      <c r="B122" s="1"/>
      <c r="C122" s="1"/>
      <c r="D122" s="1"/>
      <c r="E122" s="1"/>
      <c r="F122" s="1"/>
      <c r="G122" s="1">
        <f t="shared" si="4"/>
        <v>0</v>
      </c>
      <c r="H122" s="1"/>
      <c r="I122" s="1"/>
      <c r="J122" s="1"/>
      <c r="K122" s="1"/>
      <c r="L122" s="27" t="e">
        <f t="shared" si="6"/>
        <v>#DIV/0!</v>
      </c>
      <c r="M122" s="27" t="e">
        <f t="shared" si="6"/>
        <v>#DIV/0!</v>
      </c>
      <c r="N122" s="27" t="e">
        <f t="shared" si="6"/>
        <v>#DIV/0!</v>
      </c>
      <c r="O122" s="27" t="e">
        <f t="shared" si="6"/>
        <v>#DIV/0!</v>
      </c>
    </row>
    <row r="123" spans="1:15" x14ac:dyDescent="0.3">
      <c r="A123" s="1" t="s">
        <v>128</v>
      </c>
      <c r="B123" s="1"/>
      <c r="C123" s="1"/>
      <c r="D123" s="1"/>
      <c r="E123" s="1"/>
      <c r="F123" s="1"/>
      <c r="G123" s="1">
        <f t="shared" si="4"/>
        <v>0</v>
      </c>
      <c r="H123" s="1"/>
      <c r="I123" s="1"/>
      <c r="J123" s="1"/>
      <c r="K123" s="1"/>
      <c r="L123" s="27" t="e">
        <f t="shared" si="6"/>
        <v>#DIV/0!</v>
      </c>
      <c r="M123" s="27" t="e">
        <f t="shared" si="6"/>
        <v>#DIV/0!</v>
      </c>
      <c r="N123" s="27" t="e">
        <f t="shared" si="6"/>
        <v>#DIV/0!</v>
      </c>
      <c r="O123" s="27" t="e">
        <f t="shared" si="6"/>
        <v>#DIV/0!</v>
      </c>
    </row>
    <row r="124" spans="1:15" x14ac:dyDescent="0.3">
      <c r="A124" s="1" t="s">
        <v>129</v>
      </c>
      <c r="B124" s="1"/>
      <c r="C124" s="1"/>
      <c r="D124" s="1"/>
      <c r="E124" s="1"/>
      <c r="F124" s="1"/>
      <c r="G124" s="1">
        <f t="shared" si="4"/>
        <v>0</v>
      </c>
      <c r="H124" s="1"/>
      <c r="I124" s="1"/>
      <c r="J124" s="1"/>
      <c r="K124" s="1"/>
      <c r="L124" s="27" t="e">
        <f t="shared" si="6"/>
        <v>#DIV/0!</v>
      </c>
      <c r="M124" s="27" t="e">
        <f t="shared" si="6"/>
        <v>#DIV/0!</v>
      </c>
      <c r="N124" s="27" t="e">
        <f t="shared" si="6"/>
        <v>#DIV/0!</v>
      </c>
      <c r="O124" s="27" t="e">
        <f t="shared" si="6"/>
        <v>#DIV/0!</v>
      </c>
    </row>
    <row r="125" spans="1:15" x14ac:dyDescent="0.3">
      <c r="A125" s="1" t="s">
        <v>130</v>
      </c>
      <c r="B125" s="1"/>
      <c r="C125" s="1"/>
      <c r="D125" s="1"/>
      <c r="E125" s="1"/>
      <c r="F125" s="1"/>
      <c r="G125" s="1">
        <f t="shared" si="4"/>
        <v>0</v>
      </c>
      <c r="H125" s="1"/>
      <c r="I125" s="1"/>
      <c r="J125" s="1"/>
      <c r="K125" s="1"/>
      <c r="L125" s="27" t="e">
        <f t="shared" si="6"/>
        <v>#DIV/0!</v>
      </c>
      <c r="M125" s="27" t="e">
        <f t="shared" si="6"/>
        <v>#DIV/0!</v>
      </c>
      <c r="N125" s="27" t="e">
        <f t="shared" si="6"/>
        <v>#DIV/0!</v>
      </c>
      <c r="O125" s="27" t="e">
        <f t="shared" si="6"/>
        <v>#DIV/0!</v>
      </c>
    </row>
    <row r="126" spans="1:15" x14ac:dyDescent="0.3">
      <c r="A126" s="1" t="s">
        <v>131</v>
      </c>
      <c r="B126" s="1"/>
      <c r="C126" s="1"/>
      <c r="D126" s="1"/>
      <c r="E126" s="1"/>
      <c r="F126" s="1"/>
      <c r="G126" s="1">
        <f t="shared" si="4"/>
        <v>0</v>
      </c>
      <c r="H126" s="1"/>
      <c r="I126" s="1"/>
      <c r="J126" s="1"/>
      <c r="K126" s="1"/>
      <c r="L126" s="27" t="e">
        <f t="shared" si="6"/>
        <v>#DIV/0!</v>
      </c>
      <c r="M126" s="27" t="e">
        <f t="shared" si="6"/>
        <v>#DIV/0!</v>
      </c>
      <c r="N126" s="27" t="e">
        <f t="shared" si="6"/>
        <v>#DIV/0!</v>
      </c>
      <c r="O126" s="27" t="e">
        <f t="shared" si="6"/>
        <v>#DIV/0!</v>
      </c>
    </row>
    <row r="127" spans="1:15" x14ac:dyDescent="0.3">
      <c r="A127" s="1" t="s">
        <v>132</v>
      </c>
      <c r="B127" s="1"/>
      <c r="C127" s="1"/>
      <c r="D127" s="1"/>
      <c r="E127" s="1"/>
      <c r="F127" s="1"/>
      <c r="G127" s="1">
        <f t="shared" si="4"/>
        <v>0</v>
      </c>
      <c r="H127" s="1"/>
      <c r="I127" s="1"/>
      <c r="J127" s="1"/>
      <c r="K127" s="1"/>
      <c r="L127" s="27" t="e">
        <f t="shared" si="6"/>
        <v>#DIV/0!</v>
      </c>
      <c r="M127" s="27" t="e">
        <f t="shared" si="6"/>
        <v>#DIV/0!</v>
      </c>
      <c r="N127" s="27" t="e">
        <f t="shared" si="6"/>
        <v>#DIV/0!</v>
      </c>
      <c r="O127" s="27" t="e">
        <f t="shared" si="6"/>
        <v>#DIV/0!</v>
      </c>
    </row>
    <row r="128" spans="1:15" x14ac:dyDescent="0.3">
      <c r="A128" s="1" t="s">
        <v>133</v>
      </c>
      <c r="B128" s="1"/>
      <c r="C128" s="1"/>
      <c r="D128" s="1"/>
      <c r="E128" s="1"/>
      <c r="F128" s="1"/>
      <c r="G128" s="1">
        <f t="shared" si="4"/>
        <v>0</v>
      </c>
      <c r="H128" s="1"/>
      <c r="I128" s="1"/>
      <c r="J128" s="1"/>
      <c r="K128" s="1"/>
      <c r="L128" s="27" t="e">
        <f t="shared" si="6"/>
        <v>#DIV/0!</v>
      </c>
      <c r="M128" s="27" t="e">
        <f t="shared" si="6"/>
        <v>#DIV/0!</v>
      </c>
      <c r="N128" s="27" t="e">
        <f t="shared" si="6"/>
        <v>#DIV/0!</v>
      </c>
      <c r="O128" s="27" t="e">
        <f t="shared" si="6"/>
        <v>#DIV/0!</v>
      </c>
    </row>
    <row r="129" spans="1:15" x14ac:dyDescent="0.3">
      <c r="A129" s="1" t="s">
        <v>134</v>
      </c>
      <c r="B129" s="1"/>
      <c r="C129" s="1"/>
      <c r="D129" s="1"/>
      <c r="E129" s="1"/>
      <c r="F129" s="1"/>
      <c r="G129" s="1">
        <f t="shared" si="4"/>
        <v>0</v>
      </c>
      <c r="H129" s="1"/>
      <c r="I129" s="1"/>
      <c r="J129" s="1"/>
      <c r="K129" s="1"/>
      <c r="L129" s="27" t="e">
        <f t="shared" si="6"/>
        <v>#DIV/0!</v>
      </c>
      <c r="M129" s="27" t="e">
        <f t="shared" si="6"/>
        <v>#DIV/0!</v>
      </c>
      <c r="N129" s="27" t="e">
        <f t="shared" si="6"/>
        <v>#DIV/0!</v>
      </c>
      <c r="O129" s="27" t="e">
        <f t="shared" si="6"/>
        <v>#DIV/0!</v>
      </c>
    </row>
    <row r="130" spans="1:15" x14ac:dyDescent="0.3">
      <c r="A130" s="1" t="s">
        <v>135</v>
      </c>
      <c r="B130" s="1"/>
      <c r="C130" s="1"/>
      <c r="D130" s="1"/>
      <c r="E130" s="1"/>
      <c r="F130" s="1"/>
      <c r="G130" s="1">
        <f t="shared" si="4"/>
        <v>0</v>
      </c>
      <c r="H130" s="1"/>
      <c r="I130" s="1"/>
      <c r="J130" s="1"/>
      <c r="K130" s="1"/>
      <c r="L130" s="27" t="e">
        <f t="shared" si="6"/>
        <v>#DIV/0!</v>
      </c>
      <c r="M130" s="27" t="e">
        <f t="shared" si="6"/>
        <v>#DIV/0!</v>
      </c>
      <c r="N130" s="27" t="e">
        <f t="shared" si="6"/>
        <v>#DIV/0!</v>
      </c>
      <c r="O130" s="27" t="e">
        <f t="shared" si="6"/>
        <v>#DIV/0!</v>
      </c>
    </row>
    <row r="131" spans="1:15" x14ac:dyDescent="0.3">
      <c r="A131" s="1" t="s">
        <v>136</v>
      </c>
      <c r="B131" s="1"/>
      <c r="C131" s="1"/>
      <c r="D131" s="1"/>
      <c r="E131" s="1"/>
      <c r="F131" s="1"/>
      <c r="G131" s="1">
        <f t="shared" si="4"/>
        <v>0</v>
      </c>
      <c r="H131" s="1"/>
      <c r="I131" s="1"/>
      <c r="J131" s="1"/>
      <c r="K131" s="1"/>
      <c r="L131" s="27" t="e">
        <f t="shared" si="6"/>
        <v>#DIV/0!</v>
      </c>
      <c r="M131" s="27" t="e">
        <f t="shared" si="6"/>
        <v>#DIV/0!</v>
      </c>
      <c r="N131" s="27" t="e">
        <f t="shared" si="6"/>
        <v>#DIV/0!</v>
      </c>
      <c r="O131" s="27" t="e">
        <f t="shared" si="6"/>
        <v>#DIV/0!</v>
      </c>
    </row>
    <row r="132" spans="1:15" x14ac:dyDescent="0.3">
      <c r="A132" s="1" t="s">
        <v>137</v>
      </c>
      <c r="B132" s="1"/>
      <c r="C132" s="1"/>
      <c r="D132" s="1"/>
      <c r="E132" s="1"/>
      <c r="F132" s="1"/>
      <c r="G132" s="1">
        <f t="shared" ref="G132" si="7">COUNTA(H132:K132)</f>
        <v>0</v>
      </c>
      <c r="H132" s="1"/>
      <c r="I132" s="1"/>
      <c r="J132" s="1"/>
      <c r="K132" s="1"/>
      <c r="L132" s="27" t="e">
        <f t="shared" si="6"/>
        <v>#DIV/0!</v>
      </c>
      <c r="M132" s="27" t="e">
        <f t="shared" si="6"/>
        <v>#DIV/0!</v>
      </c>
      <c r="N132" s="27" t="e">
        <f t="shared" si="6"/>
        <v>#DIV/0!</v>
      </c>
      <c r="O132" s="27" t="e">
        <f t="shared" si="6"/>
        <v>#DIV/0!</v>
      </c>
    </row>
  </sheetData>
  <mergeCells count="2">
    <mergeCell ref="H1:K1"/>
    <mergeCell ref="L1:O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E163-8B15-4CBB-8DFC-43B52B9E0910}">
  <dimension ref="A1:H521"/>
  <sheetViews>
    <sheetView workbookViewId="0">
      <pane ySplit="1" topLeftCell="A80" activePane="bottomLeft" state="frozen"/>
      <selection pane="bottomLeft" activeCell="D9" sqref="D9"/>
    </sheetView>
  </sheetViews>
  <sheetFormatPr defaultRowHeight="14.4" x14ac:dyDescent="0.3"/>
  <cols>
    <col min="1" max="2" width="12.6640625" style="2" customWidth="1"/>
    <col min="3" max="3" width="22.109375" style="2" customWidth="1"/>
    <col min="4" max="5" width="13.77734375" style="2" customWidth="1"/>
    <col min="6" max="6" width="12.109375" customWidth="1"/>
    <col min="7" max="7" width="9.33203125" customWidth="1"/>
    <col min="8" max="8" width="45.88671875" customWidth="1"/>
  </cols>
  <sheetData>
    <row r="1" spans="1:8" x14ac:dyDescent="0.3">
      <c r="A1" s="11" t="s">
        <v>7</v>
      </c>
      <c r="B1" s="11" t="s">
        <v>5</v>
      </c>
      <c r="C1" s="11" t="s">
        <v>7</v>
      </c>
      <c r="D1" s="11" t="s">
        <v>147</v>
      </c>
      <c r="E1" s="11" t="s">
        <v>147</v>
      </c>
      <c r="F1" s="11" t="s">
        <v>153</v>
      </c>
      <c r="G1" s="11" t="s">
        <v>206</v>
      </c>
      <c r="H1" s="11" t="s">
        <v>206</v>
      </c>
    </row>
    <row r="2" spans="1:8" x14ac:dyDescent="0.3">
      <c r="A2" s="8" t="s">
        <v>9</v>
      </c>
      <c r="B2" s="8">
        <f>VLOOKUP(A2,Operations!$A$3:$B$132,2,TRUE)</f>
        <v>0</v>
      </c>
      <c r="C2" s="8" t="str">
        <f>VLOOKUP(A2,Operations!$A$3:$C$132,3,0)</f>
        <v>Treo móc</v>
      </c>
      <c r="D2" s="2" t="s">
        <v>149</v>
      </c>
      <c r="E2" s="2" t="str">
        <f>IFERROR(INDEX(Operations!$H$3:$K$132,MATCH(A2,Operations!$A$3:$A$132,0),MATCH(Link!D2,Operations!$H$2:$K$2,0)),"")</f>
        <v>W01</v>
      </c>
      <c r="F2">
        <f>IF(E2&lt;&gt;0,IFERROR(VLOOKUP(A2,Operations!$A$3:$F$132,6,FALSE)*INDEX(Operations!$L$3:$O$132,MATCH(Link!A2,Operations!$A$3:$A$132,0),MATCH(Link!D2,Operations!$L$2:$O$2,0)),0))</f>
        <v>15</v>
      </c>
      <c r="G2" s="29">
        <f>ROUND((3600*F2/SUMIF($E$2:$E$521,E2,$F$2:$F$521))/VLOOKUP(A2,Operations!$A$3:$F$132,6,FALSE),0)</f>
        <v>180</v>
      </c>
      <c r="H2" s="28" t="str">
        <f>C2&amp;":"&amp;" "&amp;G2</f>
        <v>Treo móc: 180</v>
      </c>
    </row>
    <row r="3" spans="1:8" x14ac:dyDescent="0.3">
      <c r="A3" s="8" t="s">
        <v>8</v>
      </c>
      <c r="B3" s="8">
        <f>VLOOKUP(A3,Operations!$A$3:$B$132,2,TRUE)</f>
        <v>15</v>
      </c>
      <c r="C3" s="8" t="str">
        <f>VLOOKUP(A3,Operations!$A$3:$C$132,3,0)</f>
        <v>Khóa lai áo tròn</v>
      </c>
      <c r="D3" s="2" t="s">
        <v>149</v>
      </c>
      <c r="E3" s="2" t="str">
        <f>IFERROR(INDEX(Operations!$H$3:$K$132,MATCH(A3,Operations!$A$3:$A$132,0),MATCH(Link!D3,Operations!$H$2:$K$2,0)),"")</f>
        <v>W22</v>
      </c>
      <c r="F3">
        <f>IF(E3&lt;&gt;0,IFERROR(VLOOKUP(A3,Operations!$A$3:$F$132,6,FALSE)*INDEX(Operations!$L$3:$O$132,MATCH(Link!A3,Operations!$A$3:$A$132,0),MATCH(Link!D3,Operations!$L$2:$O$2,0)),0))</f>
        <v>12.144</v>
      </c>
      <c r="G3" s="29">
        <f>ROUND((3600*F3/SUMIF($E$2:$E$521,E3,$F$2:$F$521))/VLOOKUP(A3,Operations!$A$3:$F$132,6,FALSE),0)</f>
        <v>296</v>
      </c>
      <c r="H3" s="28" t="str">
        <f t="shared" ref="H3:H66" si="0">C3&amp;":"&amp;" "&amp;G3</f>
        <v>Khóa lai áo tròn: 296</v>
      </c>
    </row>
    <row r="4" spans="1:8" x14ac:dyDescent="0.3">
      <c r="A4" s="8" t="s">
        <v>10</v>
      </c>
      <c r="B4" s="8">
        <f>VLOOKUP(A4,Operations!$A$3:$B$132,2,TRUE)</f>
        <v>14</v>
      </c>
      <c r="C4" s="8" t="str">
        <f>VLOOKUP(A4,Operations!$A$3:$C$132,3,0)</f>
        <v>May lai áo tròn</v>
      </c>
      <c r="D4" s="2" t="s">
        <v>149</v>
      </c>
      <c r="E4" s="2" t="str">
        <f>IFERROR(INDEX(Operations!$H$3:$K$132,MATCH(A4,Operations!$A$3:$A$132,0),MATCH(Link!D4,Operations!$H$2:$K$2,0)),"")</f>
        <v>W23</v>
      </c>
      <c r="F4">
        <f>IF(E4&lt;&gt;0,IFERROR(VLOOKUP(A4,Operations!$A$3:$F$132,6,FALSE)*INDEX(Operations!$L$3:$O$132,MATCH(Link!A4,Operations!$A$3:$A$132,0),MATCH(Link!D4,Operations!$L$2:$O$2,0)),0))</f>
        <v>15.048000000000002</v>
      </c>
      <c r="G4" s="29">
        <f>ROUND((3600*F4/SUMIF($E$2:$E$521,E4,$F$2:$F$521))/VLOOKUP(A4,Operations!$A$3:$F$132,6,FALSE),0)</f>
        <v>120</v>
      </c>
      <c r="H4" s="28" t="str">
        <f t="shared" si="0"/>
        <v>May lai áo tròn: 120</v>
      </c>
    </row>
    <row r="5" spans="1:8" x14ac:dyDescent="0.3">
      <c r="A5" s="8" t="s">
        <v>11</v>
      </c>
      <c r="B5" s="8">
        <f>VLOOKUP(A5,Operations!$A$3:$B$132,2,TRUE)</f>
        <v>13</v>
      </c>
      <c r="C5" s="8" t="str">
        <f>VLOOKUP(A5,Operations!$A$3:$C$132,3,0)</f>
        <v>Khóa lai tay dài</v>
      </c>
      <c r="D5" s="2" t="s">
        <v>149</v>
      </c>
      <c r="E5" s="2" t="str">
        <f>IFERROR(INDEX(Operations!$H$3:$K$132,MATCH(A5,Operations!$A$3:$A$132,0),MATCH(Link!D5,Operations!$H$2:$K$2,0)),"")</f>
        <v>W20</v>
      </c>
      <c r="F5">
        <f>IF(E5&lt;&gt;0,IFERROR(VLOOKUP(A5,Operations!$A$3:$F$132,6,FALSE)*INDEX(Operations!$L$3:$O$132,MATCH(Link!A5,Operations!$A$3:$A$132,0),MATCH(Link!D5,Operations!$L$2:$O$2,0)),0))</f>
        <v>14.847</v>
      </c>
      <c r="G5" s="29">
        <f>ROUND((3600*F5/SUMIF($E$2:$E$521,E5,$F$2:$F$521))/VLOOKUP(A5,Operations!$A$3:$F$132,6,FALSE),0)</f>
        <v>121</v>
      </c>
      <c r="H5" s="28" t="str">
        <f t="shared" si="0"/>
        <v>Khóa lai tay dài: 121</v>
      </c>
    </row>
    <row r="6" spans="1:8" x14ac:dyDescent="0.3">
      <c r="A6" s="8" t="s">
        <v>12</v>
      </c>
      <c r="B6" s="8">
        <f>VLOOKUP(A6,Operations!$A$3:$B$132,2,TRUE)</f>
        <v>12</v>
      </c>
      <c r="C6" s="8" t="str">
        <f>VLOOKUP(A6,Operations!$A$3:$C$132,3,0)</f>
        <v xml:space="preserve">VS sườn tay dài + sườn áo  + gắn nhãn </v>
      </c>
      <c r="D6" s="2" t="s">
        <v>149</v>
      </c>
      <c r="E6" s="2" t="str">
        <f>IFERROR(INDEX(Operations!$H$3:$K$132,MATCH(A6,Operations!$A$3:$A$132,0),MATCH(Link!D6,Operations!$H$2:$K$2,0)),"")</f>
        <v>W17</v>
      </c>
      <c r="F6">
        <f>IF(E6&lt;&gt;0,IFERROR(VLOOKUP(A6,Operations!$A$3:$F$132,6,FALSE)*INDEX(Operations!$L$3:$O$132,MATCH(Link!A6,Operations!$A$3:$A$132,0),MATCH(Link!D6,Operations!$L$2:$O$2,0)),0))</f>
        <v>14.408000000000001</v>
      </c>
      <c r="G6" s="29">
        <f>ROUND((3600*F6/SUMIF($E$2:$E$521,E6,$F$2:$F$521))/VLOOKUP(A6,Operations!$A$3:$F$132,6,FALSE),0)</f>
        <v>83</v>
      </c>
      <c r="H6" s="28" t="str">
        <f t="shared" si="0"/>
        <v>VS sườn tay dài + sườn áo  + gắn nhãn : 83</v>
      </c>
    </row>
    <row r="7" spans="1:8" x14ac:dyDescent="0.3">
      <c r="A7" s="8" t="s">
        <v>13</v>
      </c>
      <c r="B7" s="8">
        <f>VLOOKUP(A7,Operations!$A$3:$B$132,2,TRUE)</f>
        <v>11</v>
      </c>
      <c r="C7" s="8" t="str">
        <f>VLOOKUP(A7,Operations!$A$3:$C$132,3,0)</f>
        <v>Lược nhãn sườn</v>
      </c>
      <c r="D7" s="2" t="s">
        <v>149</v>
      </c>
      <c r="E7" s="2" t="str">
        <f>IFERROR(INDEX(Operations!$H$3:$K$132,MATCH(A7,Operations!$A$3:$A$132,0),MATCH(Link!D7,Operations!$H$2:$K$2,0)),"")</f>
        <v>W16</v>
      </c>
      <c r="F7">
        <f>IF(E7&lt;&gt;0,IFERROR(VLOOKUP(A7,Operations!$A$3:$F$132,6,FALSE)*INDEX(Operations!$L$3:$O$132,MATCH(Link!A7,Operations!$A$3:$A$132,0),MATCH(Link!D7,Operations!$L$2:$O$2,0)),0))</f>
        <v>10.032</v>
      </c>
      <c r="G7" s="29">
        <f>ROUND((3600*F7/SUMIF($E$2:$E$521,E7,$F$2:$F$521))/VLOOKUP(A7,Operations!$A$3:$F$132,6,FALSE),0)</f>
        <v>239</v>
      </c>
      <c r="H7" s="28" t="str">
        <f t="shared" si="0"/>
        <v>Lược nhãn sườn: 239</v>
      </c>
    </row>
    <row r="8" spans="1:8" x14ac:dyDescent="0.3">
      <c r="A8" s="8" t="s">
        <v>14</v>
      </c>
      <c r="B8" s="8">
        <f>VLOOKUP(A8,Operations!$A$3:$B$132,2,TRUE)</f>
        <v>10</v>
      </c>
      <c r="C8" s="8" t="str">
        <f>VLOOKUP(A8,Operations!$A$3:$C$132,3,0)</f>
        <v>VS tra tay thẳng</v>
      </c>
      <c r="D8" s="2" t="s">
        <v>149</v>
      </c>
      <c r="E8" s="2" t="str">
        <f>IFERROR(INDEX(Operations!$H$3:$K$132,MATCH(A8,Operations!$A$3:$A$132,0),MATCH(Link!D8,Operations!$H$2:$K$2,0)),"")</f>
        <v>W14</v>
      </c>
      <c r="F8">
        <f>IF(E8&lt;&gt;0,IFERROR(VLOOKUP(A8,Operations!$A$3:$F$132,6,FALSE)*INDEX(Operations!$L$3:$O$132,MATCH(Link!A8,Operations!$A$3:$A$132,0),MATCH(Link!D8,Operations!$L$2:$O$2,0)),0))</f>
        <v>16.5</v>
      </c>
      <c r="G8" s="29">
        <f>ROUND((3600*F8/SUMIF($E$2:$E$521,E8,$F$2:$F$521))/VLOOKUP(A8,Operations!$A$3:$F$132,6,FALSE),0)</f>
        <v>95</v>
      </c>
      <c r="H8" s="28" t="str">
        <f t="shared" si="0"/>
        <v>VS tra tay thẳng: 95</v>
      </c>
    </row>
    <row r="9" spans="1:8" x14ac:dyDescent="0.3">
      <c r="A9" s="8" t="s">
        <v>15</v>
      </c>
      <c r="B9" s="8">
        <f>VLOOKUP(A9,Operations!$A$3:$B$132,2,TRUE)</f>
        <v>9</v>
      </c>
      <c r="C9" s="8" t="str">
        <f>VLOOKUP(A9,Operations!$A$3:$C$132,3,0)</f>
        <v>Mí viền cổ - canh nhãn cổ</v>
      </c>
      <c r="D9" s="2" t="s">
        <v>149</v>
      </c>
      <c r="E9" s="2" t="str">
        <f>IFERROR(INDEX(Operations!$H$3:$K$132,MATCH(A9,Operations!$A$3:$A$132,0),MATCH(Link!D9,Operations!$H$2:$K$2,0)),"")</f>
        <v>W13</v>
      </c>
      <c r="F9">
        <f>IF(E9&lt;&gt;0,IFERROR(VLOOKUP(A9,Operations!$A$3:$F$132,6,FALSE)*INDEX(Operations!$L$3:$O$132,MATCH(Link!A9,Operations!$A$3:$A$132,0),MATCH(Link!D9,Operations!$L$2:$O$2,0)),0))</f>
        <v>15</v>
      </c>
      <c r="G9" s="29">
        <f>ROUND((3600*F9/SUMIF($E$2:$E$521,E9,$F$2:$F$521))/VLOOKUP(A9,Operations!$A$3:$F$132,6,FALSE),0)</f>
        <v>175</v>
      </c>
      <c r="H9" s="28" t="str">
        <f t="shared" si="0"/>
        <v>Mí viền cổ - canh nhãn cổ: 175</v>
      </c>
    </row>
    <row r="10" spans="1:8" x14ac:dyDescent="0.3">
      <c r="A10" s="8" t="s">
        <v>16</v>
      </c>
      <c r="B10" s="8">
        <f>VLOOKUP(A10,Operations!$A$3:$B$132,2,TRUE)</f>
        <v>8</v>
      </c>
      <c r="C10" s="8" t="str">
        <f>VLOOKUP(A10,Operations!$A$3:$C$132,3,0)</f>
        <v xml:space="preserve">LD + lược 1 nhãn vào giữa cổ </v>
      </c>
      <c r="D10" s="2" t="s">
        <v>149</v>
      </c>
      <c r="E10" s="2" t="str">
        <f>IFERROR(INDEX(Operations!$H$3:$K$132,MATCH(A10,Operations!$A$3:$A$132,0),MATCH(Link!D10,Operations!$H$2:$K$2,0)),"")</f>
        <v>W11</v>
      </c>
      <c r="F10">
        <f>IF(E10&lt;&gt;0,IFERROR(VLOOKUP(A10,Operations!$A$3:$F$132,6,FALSE)*INDEX(Operations!$L$3:$O$132,MATCH(Link!A10,Operations!$A$3:$A$132,0),MATCH(Link!D10,Operations!$L$2:$O$2,0)),0))</f>
        <v>16.7</v>
      </c>
      <c r="G10" s="29">
        <f>ROUND((3600*F10/SUMIF($E$2:$E$521,E10,$F$2:$F$521))/VLOOKUP(A10,Operations!$A$3:$F$132,6,FALSE),0)</f>
        <v>142</v>
      </c>
      <c r="H10" s="28" t="str">
        <f t="shared" si="0"/>
        <v>LD + lược 1 nhãn vào giữa cổ : 142</v>
      </c>
    </row>
    <row r="11" spans="1:8" x14ac:dyDescent="0.3">
      <c r="A11" s="8" t="s">
        <v>17</v>
      </c>
      <c r="B11" s="8">
        <f>VLOOKUP(A11,Operations!$A$3:$B$132,2,TRUE)</f>
        <v>7</v>
      </c>
      <c r="C11" s="8" t="str">
        <f>VLOOKUP(A11,Operations!$A$3:$C$132,3,0)</f>
        <v>Bẻ + gói chèo 2 đầu viền</v>
      </c>
      <c r="D11" s="2" t="s">
        <v>149</v>
      </c>
      <c r="E11" s="2" t="str">
        <f>IFERROR(INDEX(Operations!$H$3:$K$132,MATCH(A11,Operations!$A$3:$A$132,0),MATCH(Link!D11,Operations!$H$2:$K$2,0)),"")</f>
        <v>W10</v>
      </c>
      <c r="F11">
        <f>IF(E11&lt;&gt;0,IFERROR(VLOOKUP(A11,Operations!$A$3:$F$132,6,FALSE)*INDEX(Operations!$L$3:$O$132,MATCH(Link!A11,Operations!$A$3:$A$132,0),MATCH(Link!D11,Operations!$L$2:$O$2,0)),0))</f>
        <v>16.7</v>
      </c>
      <c r="G11" s="29">
        <f>ROUND((3600*F11/SUMIF($E$2:$E$521,E11,$F$2:$F$521))/VLOOKUP(A11,Operations!$A$3:$F$132,6,FALSE),0)</f>
        <v>144</v>
      </c>
      <c r="H11" s="28" t="str">
        <f t="shared" si="0"/>
        <v>Bẻ + gói chèo 2 đầu viền: 144</v>
      </c>
    </row>
    <row r="12" spans="1:8" x14ac:dyDescent="0.3">
      <c r="A12" s="8" t="s">
        <v>18</v>
      </c>
      <c r="B12" s="8">
        <f>VLOOKUP(A12,Operations!$A$3:$B$132,2,TRUE)</f>
        <v>6</v>
      </c>
      <c r="C12" s="8" t="str">
        <f>VLOOKUP(A12,Operations!$A$3:$C$132,3,0)</f>
        <v>Tra viền cổ sau</v>
      </c>
      <c r="D12" s="2" t="s">
        <v>149</v>
      </c>
      <c r="E12" s="2" t="str">
        <f>IFERROR(INDEX(Operations!$H$3:$K$132,MATCH(A12,Operations!$A$3:$A$132,0),MATCH(Link!D12,Operations!$H$2:$K$2,0)),"")</f>
        <v>W09</v>
      </c>
      <c r="F12">
        <f>IF(E12&lt;&gt;0,IFERROR(VLOOKUP(A12,Operations!$A$3:$F$132,6,FALSE)*INDEX(Operations!$L$3:$O$132,MATCH(Link!A12,Operations!$A$3:$A$132,0),MATCH(Link!D12,Operations!$L$2:$O$2,0)),0))</f>
        <v>15.18</v>
      </c>
      <c r="G12" s="29">
        <f>ROUND((3600*F12/SUMIF($E$2:$E$521,E12,$F$2:$F$521))/VLOOKUP(A12,Operations!$A$3:$F$132,6,FALSE),0)</f>
        <v>237</v>
      </c>
      <c r="H12" s="28" t="str">
        <f t="shared" si="0"/>
        <v>Tra viền cổ sau: 237</v>
      </c>
    </row>
    <row r="13" spans="1:8" x14ac:dyDescent="0.3">
      <c r="A13" s="8" t="s">
        <v>19</v>
      </c>
      <c r="B13" s="8">
        <f>VLOOKUP(A13,Operations!$A$3:$B$132,2,TRUE)</f>
        <v>5</v>
      </c>
      <c r="C13" s="8" t="str">
        <f>VLOOKUP(A13,Operations!$A$3:$C$132,3,0)</f>
        <v>VS tra bo cổ</v>
      </c>
      <c r="D13" s="2" t="s">
        <v>149</v>
      </c>
      <c r="E13" s="2" t="str">
        <f>IFERROR(INDEX(Operations!$H$3:$K$132,MATCH(A13,Operations!$A$3:$A$132,0),MATCH(Link!D13,Operations!$H$2:$K$2,0)),"")</f>
        <v>W07</v>
      </c>
      <c r="F13">
        <f>IF(E13&lt;&gt;0,IFERROR(VLOOKUP(A13,Operations!$A$3:$F$132,6,FALSE)*INDEX(Operations!$L$3:$O$132,MATCH(Link!A13,Operations!$A$3:$A$132,0),MATCH(Link!D13,Operations!$L$2:$O$2,0)),0))</f>
        <v>16</v>
      </c>
      <c r="G13" s="29">
        <f>ROUND((3600*F13/SUMIF($E$2:$E$521,E13,$F$2:$F$521))/VLOOKUP(A13,Operations!$A$3:$F$132,6,FALSE),0)</f>
        <v>144</v>
      </c>
      <c r="H13" s="28" t="str">
        <f t="shared" si="0"/>
        <v>VS tra bo cổ: 144</v>
      </c>
    </row>
    <row r="14" spans="1:8" x14ac:dyDescent="0.3">
      <c r="A14" s="8" t="s">
        <v>20</v>
      </c>
      <c r="B14" s="8">
        <f>VLOOKUP(A14,Operations!$A$3:$B$132,2,TRUE)</f>
        <v>4</v>
      </c>
      <c r="C14" s="8" t="str">
        <f>VLOOKUP(A14,Operations!$A$3:$C$132,3,0)</f>
        <v>VS vai</v>
      </c>
      <c r="D14" s="2" t="s">
        <v>149</v>
      </c>
      <c r="E14" s="2" t="str">
        <f>IFERROR(INDEX(Operations!$H$3:$K$132,MATCH(A14,Operations!$A$3:$A$132,0),MATCH(Link!D14,Operations!$H$2:$K$2,0)),"")</f>
        <v>W06</v>
      </c>
      <c r="F14">
        <f>IF(E14&lt;&gt;0,IFERROR(VLOOKUP(A14,Operations!$A$3:$F$132,6,FALSE)*INDEX(Operations!$L$3:$O$132,MATCH(Link!A14,Operations!$A$3:$A$132,0),MATCH(Link!D14,Operations!$L$2:$O$2,0)),0))</f>
        <v>16</v>
      </c>
      <c r="G14" s="29">
        <f>ROUND((3600*F14/SUMIF($E$2:$E$521,E14,$F$2:$F$521))/VLOOKUP(A14,Operations!$A$3:$F$132,6,FALSE),0)</f>
        <v>163</v>
      </c>
      <c r="H14" s="28" t="str">
        <f t="shared" si="0"/>
        <v>VS vai: 163</v>
      </c>
    </row>
    <row r="15" spans="1:8" x14ac:dyDescent="0.3">
      <c r="A15" s="8" t="s">
        <v>21</v>
      </c>
      <c r="B15" s="8">
        <f>VLOOKUP(A15,Operations!$A$3:$B$132,2,TRUE)</f>
        <v>3</v>
      </c>
      <c r="C15" s="8" t="str">
        <f>VLOOKUP(A15,Operations!$A$3:$C$132,3,0)</f>
        <v>May lai tay thẳng</v>
      </c>
      <c r="D15" s="2" t="s">
        <v>149</v>
      </c>
      <c r="E15" s="2" t="str">
        <f>IFERROR(INDEX(Operations!$H$3:$K$132,MATCH(A15,Operations!$A$3:$A$132,0),MATCH(Link!D15,Operations!$H$2:$K$2,0)),"")</f>
        <v>W04</v>
      </c>
      <c r="F15">
        <f>IF(E15&lt;&gt;0,IFERROR(VLOOKUP(A15,Operations!$A$3:$F$132,6,FALSE)*INDEX(Operations!$L$3:$O$132,MATCH(Link!A15,Operations!$A$3:$A$132,0),MATCH(Link!D15,Operations!$L$2:$O$2,0)),0))</f>
        <v>15.144545454545453</v>
      </c>
      <c r="G15" s="29">
        <f>ROUND((3600*F15/SUMIF($E$2:$E$521,E15,$F$2:$F$521))/VLOOKUP(A15,Operations!$A$3:$F$132,6,FALSE),0)</f>
        <v>162</v>
      </c>
      <c r="H15" s="28" t="str">
        <f t="shared" si="0"/>
        <v>May lai tay thẳng: 162</v>
      </c>
    </row>
    <row r="16" spans="1:8" x14ac:dyDescent="0.3">
      <c r="A16" s="8" t="s">
        <v>22</v>
      </c>
      <c r="B16" s="8">
        <f>VLOOKUP(A16,Operations!$A$3:$B$132,2,TRUE)</f>
        <v>2</v>
      </c>
      <c r="C16" s="8" t="str">
        <f>VLOOKUP(A16,Operations!$A$3:$C$132,3,0)</f>
        <v>Lộn + lược chân bo cổ</v>
      </c>
      <c r="D16" s="2" t="s">
        <v>149</v>
      </c>
      <c r="E16" s="2" t="str">
        <f>IFERROR(INDEX(Operations!$H$3:$K$132,MATCH(A16,Operations!$A$3:$A$132,0),MATCH(Link!D16,Operations!$H$2:$K$2,0)),"")</f>
        <v>W03</v>
      </c>
      <c r="F16">
        <f>IF(E16&lt;&gt;0,IFERROR(VLOOKUP(A16,Operations!$A$3:$F$132,6,FALSE)*INDEX(Operations!$L$3:$O$132,MATCH(Link!A16,Operations!$A$3:$A$132,0),MATCH(Link!D16,Operations!$L$2:$O$2,0)),0))</f>
        <v>15.797999999999998</v>
      </c>
      <c r="G16" s="29">
        <f>ROUND((3600*F16/SUMIF($E$2:$E$521,E16,$F$2:$F$521))/VLOOKUP(A16,Operations!$A$3:$F$132,6,FALSE),0)</f>
        <v>228</v>
      </c>
      <c r="H16" s="28" t="str">
        <f t="shared" si="0"/>
        <v>Lộn + lược chân bo cổ: 228</v>
      </c>
    </row>
    <row r="17" spans="1:8" x14ac:dyDescent="0.3">
      <c r="A17" s="8" t="s">
        <v>23</v>
      </c>
      <c r="B17" s="8">
        <f>VLOOKUP(A17,Operations!$A$3:$B$132,2,TRUE)</f>
        <v>1</v>
      </c>
      <c r="C17" s="8" t="str">
        <f>VLOOKUP(A17,Operations!$A$3:$C$132,3,0)</f>
        <v xml:space="preserve">Nối bo cổ RIB </v>
      </c>
      <c r="D17" s="2" t="s">
        <v>149</v>
      </c>
      <c r="E17" s="2" t="str">
        <f>IFERROR(INDEX(Operations!$H$3:$K$132,MATCH(A17,Operations!$A$3:$A$132,0),MATCH(Link!D17,Operations!$H$2:$K$2,0)),"")</f>
        <v>W02</v>
      </c>
      <c r="F17">
        <f>IF(E17&lt;&gt;0,IFERROR(VLOOKUP(A17,Operations!$A$3:$F$132,6,FALSE)*INDEX(Operations!$L$3:$O$132,MATCH(Link!A17,Operations!$A$3:$A$132,0),MATCH(Link!D17,Operations!$L$2:$O$2,0)),0))</f>
        <v>8.766</v>
      </c>
      <c r="G17" s="29">
        <f>ROUND((3600*F17/SUMIF($E$2:$E$521,E17,$F$2:$F$521))/VLOOKUP(A17,Operations!$A$3:$F$132,6,FALSE),0)</f>
        <v>262</v>
      </c>
      <c r="H17" s="28" t="str">
        <f t="shared" si="0"/>
        <v>Nối bo cổ RIB : 262</v>
      </c>
    </row>
    <row r="18" spans="1:8" x14ac:dyDescent="0.3">
      <c r="A18" s="8" t="s">
        <v>24</v>
      </c>
      <c r="B18" s="8">
        <f>VLOOKUP(A18,Operations!$A$3:$B$132,2,TRUE)</f>
        <v>0</v>
      </c>
      <c r="C18" s="8">
        <f>VLOOKUP(A18,Operations!$A$3:$C$132,3,0)</f>
        <v>0</v>
      </c>
      <c r="D18" s="2" t="s">
        <v>149</v>
      </c>
      <c r="E18" s="2">
        <f>IFERROR(INDEX(Operations!$H$3:$K$132,MATCH(A18,Operations!$A$3:$A$132,0),MATCH(Link!D18,Operations!$H$2:$K$2,0)),"")</f>
        <v>0</v>
      </c>
      <c r="F18" t="b">
        <f>IF(E18&lt;&gt;0,IFERROR(VLOOKUP(A18,Operations!$A$3:$F$132,6,FALSE)*INDEX(Operations!$L$3:$O$132,MATCH(Link!A18,Operations!$A$3:$A$132,0),MATCH(Link!D18,Operations!$L$2:$O$2,0)),0))</f>
        <v>0</v>
      </c>
      <c r="G18" s="29" t="e">
        <f>ROUND((3600*F18/SUMIF($E$2:$E$521,E18,$F$2:$F$521))/VLOOKUP(A18,Operations!$A$3:$F$132,6,FALSE),0)</f>
        <v>#DIV/0!</v>
      </c>
      <c r="H18" s="28" t="e">
        <f t="shared" si="0"/>
        <v>#DIV/0!</v>
      </c>
    </row>
    <row r="19" spans="1:8" x14ac:dyDescent="0.3">
      <c r="A19" s="8" t="s">
        <v>25</v>
      </c>
      <c r="B19" s="8">
        <f>VLOOKUP(A19,Operations!$A$3:$B$132,2,TRUE)</f>
        <v>0</v>
      </c>
      <c r="C19" s="8">
        <f>VLOOKUP(A19,Operations!$A$3:$C$132,3,0)</f>
        <v>0</v>
      </c>
      <c r="D19" s="2" t="s">
        <v>149</v>
      </c>
      <c r="E19" s="2">
        <f>IFERROR(INDEX(Operations!$H$3:$K$132,MATCH(A19,Operations!$A$3:$A$132,0),MATCH(Link!D19,Operations!$H$2:$K$2,0)),"")</f>
        <v>0</v>
      </c>
      <c r="F19" t="b">
        <f>IF(E19&lt;&gt;0,IFERROR(VLOOKUP(A19,Operations!$A$3:$F$132,6,FALSE)*INDEX(Operations!$L$3:$O$132,MATCH(Link!A19,Operations!$A$3:$A$132,0),MATCH(Link!D19,Operations!$L$2:$O$2,0)),0))</f>
        <v>0</v>
      </c>
      <c r="G19" s="29" t="e">
        <f>ROUND((3600*F19/SUMIF($E$2:$E$521,E19,$F$2:$F$521))/VLOOKUP(A19,Operations!$A$3:$F$132,6,FALSE),0)</f>
        <v>#DIV/0!</v>
      </c>
      <c r="H19" s="28" t="e">
        <f t="shared" si="0"/>
        <v>#DIV/0!</v>
      </c>
    </row>
    <row r="20" spans="1:8" x14ac:dyDescent="0.3">
      <c r="A20" s="8" t="s">
        <v>26</v>
      </c>
      <c r="B20" s="8">
        <f>VLOOKUP(A20,Operations!$A$3:$B$132,2,TRUE)</f>
        <v>0</v>
      </c>
      <c r="C20" s="8">
        <f>VLOOKUP(A20,Operations!$A$3:$C$132,3,0)</f>
        <v>0</v>
      </c>
      <c r="D20" s="2" t="s">
        <v>149</v>
      </c>
      <c r="E20" s="2">
        <f>IFERROR(INDEX(Operations!$H$3:$K$132,MATCH(A20,Operations!$A$3:$A$132,0),MATCH(Link!D20,Operations!$H$2:$K$2,0)),"")</f>
        <v>0</v>
      </c>
      <c r="F20" t="b">
        <f>IF(E20&lt;&gt;0,IFERROR(VLOOKUP(A20,Operations!$A$3:$F$132,6,FALSE)*INDEX(Operations!$L$3:$O$132,MATCH(Link!A20,Operations!$A$3:$A$132,0),MATCH(Link!D20,Operations!$L$2:$O$2,0)),0))</f>
        <v>0</v>
      </c>
      <c r="G20" s="29" t="e">
        <f>ROUND((3600*F20/SUMIF($E$2:$E$521,E20,$F$2:$F$521))/VLOOKUP(A20,Operations!$A$3:$F$132,6,FALSE),0)</f>
        <v>#DIV/0!</v>
      </c>
      <c r="H20" s="28" t="e">
        <f t="shared" si="0"/>
        <v>#DIV/0!</v>
      </c>
    </row>
    <row r="21" spans="1:8" x14ac:dyDescent="0.3">
      <c r="A21" s="8" t="s">
        <v>27</v>
      </c>
      <c r="B21" s="8">
        <f>VLOOKUP(A21,Operations!$A$3:$B$132,2,TRUE)</f>
        <v>0</v>
      </c>
      <c r="C21" s="8">
        <f>VLOOKUP(A21,Operations!$A$3:$C$132,3,0)</f>
        <v>0</v>
      </c>
      <c r="D21" s="2" t="s">
        <v>149</v>
      </c>
      <c r="E21" s="2">
        <f>IFERROR(INDEX(Operations!$H$3:$K$132,MATCH(A21,Operations!$A$3:$A$132,0),MATCH(Link!D21,Operations!$H$2:$K$2,0)),"")</f>
        <v>0</v>
      </c>
      <c r="F21" t="b">
        <f>IF(E21&lt;&gt;0,IFERROR(VLOOKUP(A21,Operations!$A$3:$F$132,6,FALSE)*INDEX(Operations!$L$3:$O$132,MATCH(Link!A21,Operations!$A$3:$A$132,0),MATCH(Link!D21,Operations!$L$2:$O$2,0)),0))</f>
        <v>0</v>
      </c>
      <c r="G21" s="29" t="e">
        <f>ROUND((3600*F21/SUMIF($E$2:$E$521,E21,$F$2:$F$521))/VLOOKUP(A21,Operations!$A$3:$F$132,6,FALSE),0)</f>
        <v>#DIV/0!</v>
      </c>
      <c r="H21" s="28" t="e">
        <f t="shared" si="0"/>
        <v>#DIV/0!</v>
      </c>
    </row>
    <row r="22" spans="1:8" x14ac:dyDescent="0.3">
      <c r="A22" s="8" t="s">
        <v>28</v>
      </c>
      <c r="B22" s="8">
        <f>VLOOKUP(A22,Operations!$A$3:$B$132,2,TRUE)</f>
        <v>0</v>
      </c>
      <c r="C22" s="8">
        <f>VLOOKUP(A22,Operations!$A$3:$C$132,3,0)</f>
        <v>0</v>
      </c>
      <c r="D22" s="2" t="s">
        <v>149</v>
      </c>
      <c r="E22" s="2">
        <f>IFERROR(INDEX(Operations!$H$3:$K$132,MATCH(A22,Operations!$A$3:$A$132,0),MATCH(Link!D22,Operations!$H$2:$K$2,0)),"")</f>
        <v>0</v>
      </c>
      <c r="F22" t="b">
        <f>IF(E22&lt;&gt;0,IFERROR(VLOOKUP(A22,Operations!$A$3:$F$132,6,FALSE)*INDEX(Operations!$L$3:$O$132,MATCH(Link!A22,Operations!$A$3:$A$132,0),MATCH(Link!D22,Operations!$L$2:$O$2,0)),0))</f>
        <v>0</v>
      </c>
      <c r="G22" s="29" t="e">
        <f>ROUND((3600*F22/SUMIF($E$2:$E$521,E22,$F$2:$F$521))/VLOOKUP(A22,Operations!$A$3:$F$132,6,FALSE),0)</f>
        <v>#DIV/0!</v>
      </c>
      <c r="H22" s="28" t="e">
        <f t="shared" si="0"/>
        <v>#DIV/0!</v>
      </c>
    </row>
    <row r="23" spans="1:8" x14ac:dyDescent="0.3">
      <c r="A23" s="8" t="s">
        <v>29</v>
      </c>
      <c r="B23" s="8">
        <f>VLOOKUP(A23,Operations!$A$3:$B$132,2,TRUE)</f>
        <v>0</v>
      </c>
      <c r="C23" s="8">
        <f>VLOOKUP(A23,Operations!$A$3:$C$132,3,0)</f>
        <v>0</v>
      </c>
      <c r="D23" s="2" t="s">
        <v>149</v>
      </c>
      <c r="E23" s="2">
        <f>IFERROR(INDEX(Operations!$H$3:$K$132,MATCH(A23,Operations!$A$3:$A$132,0),MATCH(Link!D23,Operations!$H$2:$K$2,0)),"")</f>
        <v>0</v>
      </c>
      <c r="F23" t="b">
        <f>IF(E23&lt;&gt;0,IFERROR(VLOOKUP(A23,Operations!$A$3:$F$132,6,FALSE)*INDEX(Operations!$L$3:$O$132,MATCH(Link!A23,Operations!$A$3:$A$132,0),MATCH(Link!D23,Operations!$L$2:$O$2,0)),0))</f>
        <v>0</v>
      </c>
      <c r="G23" s="29" t="e">
        <f>ROUND((3600*F23/SUMIF($E$2:$E$521,E23,$F$2:$F$521))/VLOOKUP(A23,Operations!$A$3:$F$132,6,FALSE),0)</f>
        <v>#DIV/0!</v>
      </c>
      <c r="H23" s="28" t="e">
        <f t="shared" si="0"/>
        <v>#DIV/0!</v>
      </c>
    </row>
    <row r="24" spans="1:8" x14ac:dyDescent="0.3">
      <c r="A24" s="8" t="s">
        <v>30</v>
      </c>
      <c r="B24" s="8">
        <f>VLOOKUP(A24,Operations!$A$3:$B$132,2,TRUE)</f>
        <v>0</v>
      </c>
      <c r="C24" s="8">
        <f>VLOOKUP(A24,Operations!$A$3:$C$132,3,0)</f>
        <v>0</v>
      </c>
      <c r="D24" s="2" t="s">
        <v>149</v>
      </c>
      <c r="E24" s="2">
        <f>IFERROR(INDEX(Operations!$H$3:$K$132,MATCH(A24,Operations!$A$3:$A$132,0),MATCH(Link!D24,Operations!$H$2:$K$2,0)),"")</f>
        <v>0</v>
      </c>
      <c r="F24" t="b">
        <f>IF(E24&lt;&gt;0,IFERROR(VLOOKUP(A24,Operations!$A$3:$F$132,6,FALSE)*INDEX(Operations!$L$3:$O$132,MATCH(Link!A24,Operations!$A$3:$A$132,0),MATCH(Link!D24,Operations!$L$2:$O$2,0)),0))</f>
        <v>0</v>
      </c>
      <c r="G24" s="29" t="e">
        <f>ROUND((3600*F24/SUMIF($E$2:$E$521,E24,$F$2:$F$521))/VLOOKUP(A24,Operations!$A$3:$F$132,6,FALSE),0)</f>
        <v>#DIV/0!</v>
      </c>
      <c r="H24" s="28" t="e">
        <f t="shared" si="0"/>
        <v>#DIV/0!</v>
      </c>
    </row>
    <row r="25" spans="1:8" x14ac:dyDescent="0.3">
      <c r="A25" s="8" t="s">
        <v>31</v>
      </c>
      <c r="B25" s="8">
        <f>VLOOKUP(A25,Operations!$A$3:$B$132,2,TRUE)</f>
        <v>0</v>
      </c>
      <c r="C25" s="8">
        <f>VLOOKUP(A25,Operations!$A$3:$C$132,3,0)</f>
        <v>0</v>
      </c>
      <c r="D25" s="2" t="s">
        <v>149</v>
      </c>
      <c r="E25" s="2">
        <f>IFERROR(INDEX(Operations!$H$3:$K$132,MATCH(A25,Operations!$A$3:$A$132,0),MATCH(Link!D25,Operations!$H$2:$K$2,0)),"")</f>
        <v>0</v>
      </c>
      <c r="F25" t="b">
        <f>IF(E25&lt;&gt;0,IFERROR(VLOOKUP(A25,Operations!$A$3:$F$132,6,FALSE)*INDEX(Operations!$L$3:$O$132,MATCH(Link!A25,Operations!$A$3:$A$132,0),MATCH(Link!D25,Operations!$L$2:$O$2,0)),0))</f>
        <v>0</v>
      </c>
      <c r="G25" s="29" t="e">
        <f>ROUND((3600*F25/SUMIF($E$2:$E$521,E25,$F$2:$F$521))/VLOOKUP(A25,Operations!$A$3:$F$132,6,FALSE),0)</f>
        <v>#DIV/0!</v>
      </c>
      <c r="H25" s="28" t="e">
        <f t="shared" si="0"/>
        <v>#DIV/0!</v>
      </c>
    </row>
    <row r="26" spans="1:8" x14ac:dyDescent="0.3">
      <c r="A26" s="8" t="s">
        <v>32</v>
      </c>
      <c r="B26" s="8">
        <f>VLOOKUP(A26,Operations!$A$3:$B$132,2,TRUE)</f>
        <v>0</v>
      </c>
      <c r="C26" s="8">
        <f>VLOOKUP(A26,Operations!$A$3:$C$132,3,0)</f>
        <v>0</v>
      </c>
      <c r="D26" s="2" t="s">
        <v>149</v>
      </c>
      <c r="E26" s="2">
        <f>IFERROR(INDEX(Operations!$H$3:$K$132,MATCH(A26,Operations!$A$3:$A$132,0),MATCH(Link!D26,Operations!$H$2:$K$2,0)),"")</f>
        <v>0</v>
      </c>
      <c r="F26" t="b">
        <f>IF(E26&lt;&gt;0,IFERROR(VLOOKUP(A26,Operations!$A$3:$F$132,6,FALSE)*INDEX(Operations!$L$3:$O$132,MATCH(Link!A26,Operations!$A$3:$A$132,0),MATCH(Link!D26,Operations!$L$2:$O$2,0)),0))</f>
        <v>0</v>
      </c>
      <c r="G26" s="29" t="e">
        <f>ROUND((3600*F26/SUMIF($E$2:$E$521,E26,$F$2:$F$521))/VLOOKUP(A26,Operations!$A$3:$F$132,6,FALSE),0)</f>
        <v>#DIV/0!</v>
      </c>
      <c r="H26" s="28" t="e">
        <f t="shared" si="0"/>
        <v>#DIV/0!</v>
      </c>
    </row>
    <row r="27" spans="1:8" x14ac:dyDescent="0.3">
      <c r="A27" s="8" t="s">
        <v>33</v>
      </c>
      <c r="B27" s="8">
        <f>VLOOKUP(A27,Operations!$A$3:$B$132,2,TRUE)</f>
        <v>0</v>
      </c>
      <c r="C27" s="8">
        <f>VLOOKUP(A27,Operations!$A$3:$C$132,3,0)</f>
        <v>0</v>
      </c>
      <c r="D27" s="2" t="s">
        <v>149</v>
      </c>
      <c r="E27" s="2">
        <f>IFERROR(INDEX(Operations!$H$3:$K$132,MATCH(A27,Operations!$A$3:$A$132,0),MATCH(Link!D27,Operations!$H$2:$K$2,0)),"")</f>
        <v>0</v>
      </c>
      <c r="F27" t="b">
        <f>IF(E27&lt;&gt;0,IFERROR(VLOOKUP(A27,Operations!$A$3:$F$132,6,FALSE)*INDEX(Operations!$L$3:$O$132,MATCH(Link!A27,Operations!$A$3:$A$132,0),MATCH(Link!D27,Operations!$L$2:$O$2,0)),0))</f>
        <v>0</v>
      </c>
      <c r="G27" s="29" t="e">
        <f>ROUND((3600*F27/SUMIF($E$2:$E$521,E27,$F$2:$F$521))/VLOOKUP(A27,Operations!$A$3:$F$132,6,FALSE),0)</f>
        <v>#DIV/0!</v>
      </c>
      <c r="H27" s="28" t="e">
        <f t="shared" si="0"/>
        <v>#DIV/0!</v>
      </c>
    </row>
    <row r="28" spans="1:8" x14ac:dyDescent="0.3">
      <c r="A28" s="8" t="s">
        <v>34</v>
      </c>
      <c r="B28" s="8">
        <f>VLOOKUP(A28,Operations!$A$3:$B$132,2,TRUE)</f>
        <v>0</v>
      </c>
      <c r="C28" s="8">
        <f>VLOOKUP(A28,Operations!$A$3:$C$132,3,0)</f>
        <v>0</v>
      </c>
      <c r="D28" s="2" t="s">
        <v>149</v>
      </c>
      <c r="E28" s="2">
        <f>IFERROR(INDEX(Operations!$H$3:$K$132,MATCH(A28,Operations!$A$3:$A$132,0),MATCH(Link!D28,Operations!$H$2:$K$2,0)),"")</f>
        <v>0</v>
      </c>
      <c r="F28" t="b">
        <f>IF(E28&lt;&gt;0,IFERROR(VLOOKUP(A28,Operations!$A$3:$F$132,6,FALSE)*INDEX(Operations!$L$3:$O$132,MATCH(Link!A28,Operations!$A$3:$A$132,0),MATCH(Link!D28,Operations!$L$2:$O$2,0)),0))</f>
        <v>0</v>
      </c>
      <c r="G28" s="29" t="e">
        <f>ROUND((3600*F28/SUMIF($E$2:$E$521,E28,$F$2:$F$521))/VLOOKUP(A28,Operations!$A$3:$F$132,6,FALSE),0)</f>
        <v>#DIV/0!</v>
      </c>
      <c r="H28" s="28" t="e">
        <f t="shared" si="0"/>
        <v>#DIV/0!</v>
      </c>
    </row>
    <row r="29" spans="1:8" x14ac:dyDescent="0.3">
      <c r="A29" s="8" t="s">
        <v>35</v>
      </c>
      <c r="B29" s="8">
        <f>VLOOKUP(A29,Operations!$A$3:$B$132,2,TRUE)</f>
        <v>0</v>
      </c>
      <c r="C29" s="8">
        <f>VLOOKUP(A29,Operations!$A$3:$C$132,3,0)</f>
        <v>0</v>
      </c>
      <c r="D29" s="2" t="s">
        <v>149</v>
      </c>
      <c r="E29" s="2">
        <f>IFERROR(INDEX(Operations!$H$3:$K$132,MATCH(A29,Operations!$A$3:$A$132,0),MATCH(Link!D29,Operations!$H$2:$K$2,0)),"")</f>
        <v>0</v>
      </c>
      <c r="F29" t="b">
        <f>IF(E29&lt;&gt;0,IFERROR(VLOOKUP(A29,Operations!$A$3:$F$132,6,FALSE)*INDEX(Operations!$L$3:$O$132,MATCH(Link!A29,Operations!$A$3:$A$132,0),MATCH(Link!D29,Operations!$L$2:$O$2,0)),0))</f>
        <v>0</v>
      </c>
      <c r="G29" s="29" t="e">
        <f>ROUND((3600*F29/SUMIF($E$2:$E$521,E29,$F$2:$F$521))/VLOOKUP(A29,Operations!$A$3:$F$132,6,FALSE),0)</f>
        <v>#DIV/0!</v>
      </c>
      <c r="H29" s="28" t="e">
        <f t="shared" si="0"/>
        <v>#DIV/0!</v>
      </c>
    </row>
    <row r="30" spans="1:8" x14ac:dyDescent="0.3">
      <c r="A30" s="8" t="s">
        <v>36</v>
      </c>
      <c r="B30" s="8">
        <f>VLOOKUP(A30,Operations!$A$3:$B$132,2,TRUE)</f>
        <v>0</v>
      </c>
      <c r="C30" s="8">
        <f>VLOOKUP(A30,Operations!$A$3:$C$132,3,0)</f>
        <v>0</v>
      </c>
      <c r="D30" s="2" t="s">
        <v>149</v>
      </c>
      <c r="E30" s="2">
        <f>IFERROR(INDEX(Operations!$H$3:$K$132,MATCH(A30,Operations!$A$3:$A$132,0),MATCH(Link!D30,Operations!$H$2:$K$2,0)),"")</f>
        <v>0</v>
      </c>
      <c r="F30" t="b">
        <f>IF(E30&lt;&gt;0,IFERROR(VLOOKUP(A30,Operations!$A$3:$F$132,6,FALSE)*INDEX(Operations!$L$3:$O$132,MATCH(Link!A30,Operations!$A$3:$A$132,0),MATCH(Link!D30,Operations!$L$2:$O$2,0)),0))</f>
        <v>0</v>
      </c>
      <c r="G30" s="29" t="e">
        <f>ROUND((3600*F30/SUMIF($E$2:$E$521,E30,$F$2:$F$521))/VLOOKUP(A30,Operations!$A$3:$F$132,6,FALSE),0)</f>
        <v>#DIV/0!</v>
      </c>
      <c r="H30" s="28" t="e">
        <f t="shared" si="0"/>
        <v>#DIV/0!</v>
      </c>
    </row>
    <row r="31" spans="1:8" x14ac:dyDescent="0.3">
      <c r="A31" s="8" t="s">
        <v>37</v>
      </c>
      <c r="B31" s="8">
        <f>VLOOKUP(A31,Operations!$A$3:$B$132,2,TRUE)</f>
        <v>0</v>
      </c>
      <c r="C31" s="8">
        <f>VLOOKUP(A31,Operations!$A$3:$C$132,3,0)</f>
        <v>0</v>
      </c>
      <c r="D31" s="2" t="s">
        <v>149</v>
      </c>
      <c r="E31" s="2">
        <f>IFERROR(INDEX(Operations!$H$3:$K$132,MATCH(A31,Operations!$A$3:$A$132,0),MATCH(Link!D31,Operations!$H$2:$K$2,0)),"")</f>
        <v>0</v>
      </c>
      <c r="F31" t="b">
        <f>IF(E31&lt;&gt;0,IFERROR(VLOOKUP(A31,Operations!$A$3:$F$132,6,FALSE)*INDEX(Operations!$L$3:$O$132,MATCH(Link!A31,Operations!$A$3:$A$132,0),MATCH(Link!D31,Operations!$L$2:$O$2,0)),0))</f>
        <v>0</v>
      </c>
      <c r="G31" s="29" t="e">
        <f>ROUND((3600*F31/SUMIF($E$2:$E$521,E31,$F$2:$F$521))/VLOOKUP(A31,Operations!$A$3:$F$132,6,FALSE),0)</f>
        <v>#DIV/0!</v>
      </c>
      <c r="H31" s="28" t="e">
        <f t="shared" si="0"/>
        <v>#DIV/0!</v>
      </c>
    </row>
    <row r="32" spans="1:8" x14ac:dyDescent="0.3">
      <c r="A32" s="8" t="s">
        <v>38</v>
      </c>
      <c r="B32" s="8">
        <f>VLOOKUP(A32,Operations!$A$3:$B$132,2,TRUE)</f>
        <v>0</v>
      </c>
      <c r="C32" s="8">
        <f>VLOOKUP(A32,Operations!$A$3:$C$132,3,0)</f>
        <v>0</v>
      </c>
      <c r="D32" s="2" t="s">
        <v>149</v>
      </c>
      <c r="E32" s="2">
        <f>IFERROR(INDEX(Operations!$H$3:$K$132,MATCH(A32,Operations!$A$3:$A$132,0),MATCH(Link!D32,Operations!$H$2:$K$2,0)),"")</f>
        <v>0</v>
      </c>
      <c r="F32" t="b">
        <f>IF(E32&lt;&gt;0,IFERROR(VLOOKUP(A32,Operations!$A$3:$F$132,6,FALSE)*INDEX(Operations!$L$3:$O$132,MATCH(Link!A32,Operations!$A$3:$A$132,0),MATCH(Link!D32,Operations!$L$2:$O$2,0)),0))</f>
        <v>0</v>
      </c>
      <c r="G32" s="29" t="e">
        <f>ROUND((3600*F32/SUMIF($E$2:$E$521,E32,$F$2:$F$521))/VLOOKUP(A32,Operations!$A$3:$F$132,6,FALSE),0)</f>
        <v>#DIV/0!</v>
      </c>
      <c r="H32" s="28" t="e">
        <f t="shared" si="0"/>
        <v>#DIV/0!</v>
      </c>
    </row>
    <row r="33" spans="1:8" x14ac:dyDescent="0.3">
      <c r="A33" s="8" t="s">
        <v>39</v>
      </c>
      <c r="B33" s="8">
        <f>VLOOKUP(A33,Operations!$A$3:$B$132,2,TRUE)</f>
        <v>0</v>
      </c>
      <c r="C33" s="8">
        <f>VLOOKUP(A33,Operations!$A$3:$C$132,3,0)</f>
        <v>0</v>
      </c>
      <c r="D33" s="2" t="s">
        <v>149</v>
      </c>
      <c r="E33" s="2">
        <f>IFERROR(INDEX(Operations!$H$3:$K$132,MATCH(A33,Operations!$A$3:$A$132,0),MATCH(Link!D33,Operations!$H$2:$K$2,0)),"")</f>
        <v>0</v>
      </c>
      <c r="F33" t="b">
        <f>IF(E33&lt;&gt;0,IFERROR(VLOOKUP(A33,Operations!$A$3:$F$132,6,FALSE)*INDEX(Operations!$L$3:$O$132,MATCH(Link!A33,Operations!$A$3:$A$132,0),MATCH(Link!D33,Operations!$L$2:$O$2,0)),0))</f>
        <v>0</v>
      </c>
      <c r="G33" s="29" t="e">
        <f>ROUND((3600*F33/SUMIF($E$2:$E$521,E33,$F$2:$F$521))/VLOOKUP(A33,Operations!$A$3:$F$132,6,FALSE),0)</f>
        <v>#DIV/0!</v>
      </c>
      <c r="H33" s="28" t="e">
        <f t="shared" si="0"/>
        <v>#DIV/0!</v>
      </c>
    </row>
    <row r="34" spans="1:8" x14ac:dyDescent="0.3">
      <c r="A34" s="8" t="s">
        <v>40</v>
      </c>
      <c r="B34" s="8">
        <f>VLOOKUP(A34,Operations!$A$3:$B$132,2,TRUE)</f>
        <v>0</v>
      </c>
      <c r="C34" s="8">
        <f>VLOOKUP(A34,Operations!$A$3:$C$132,3,0)</f>
        <v>0</v>
      </c>
      <c r="D34" s="2" t="s">
        <v>149</v>
      </c>
      <c r="E34" s="2">
        <f>IFERROR(INDEX(Operations!$H$3:$K$132,MATCH(A34,Operations!$A$3:$A$132,0),MATCH(Link!D34,Operations!$H$2:$K$2,0)),"")</f>
        <v>0</v>
      </c>
      <c r="F34" t="b">
        <f>IF(E34&lt;&gt;0,IFERROR(VLOOKUP(A34,Operations!$A$3:$F$132,6,FALSE)*INDEX(Operations!$L$3:$O$132,MATCH(Link!A34,Operations!$A$3:$A$132,0),MATCH(Link!D34,Operations!$L$2:$O$2,0)),0))</f>
        <v>0</v>
      </c>
      <c r="G34" s="29" t="e">
        <f>ROUND((3600*F34/SUMIF($E$2:$E$521,E34,$F$2:$F$521))/VLOOKUP(A34,Operations!$A$3:$F$132,6,FALSE),0)</f>
        <v>#DIV/0!</v>
      </c>
      <c r="H34" s="28" t="e">
        <f t="shared" si="0"/>
        <v>#DIV/0!</v>
      </c>
    </row>
    <row r="35" spans="1:8" x14ac:dyDescent="0.3">
      <c r="A35" s="8" t="s">
        <v>41</v>
      </c>
      <c r="B35" s="8">
        <f>VLOOKUP(A35,Operations!$A$3:$B$132,2,TRUE)</f>
        <v>0</v>
      </c>
      <c r="C35" s="8">
        <f>VLOOKUP(A35,Operations!$A$3:$C$132,3,0)</f>
        <v>0</v>
      </c>
      <c r="D35" s="2" t="s">
        <v>149</v>
      </c>
      <c r="E35" s="2">
        <f>IFERROR(INDEX(Operations!$H$3:$K$132,MATCH(A35,Operations!$A$3:$A$132,0),MATCH(Link!D35,Operations!$H$2:$K$2,0)),"")</f>
        <v>0</v>
      </c>
      <c r="F35" t="b">
        <f>IF(E35&lt;&gt;0,IFERROR(VLOOKUP(A35,Operations!$A$3:$F$132,6,FALSE)*INDEX(Operations!$L$3:$O$132,MATCH(Link!A35,Operations!$A$3:$A$132,0),MATCH(Link!D35,Operations!$L$2:$O$2,0)),0))</f>
        <v>0</v>
      </c>
      <c r="G35" s="29" t="e">
        <f>ROUND((3600*F35/SUMIF($E$2:$E$521,E35,$F$2:$F$521))/VLOOKUP(A35,Operations!$A$3:$F$132,6,FALSE),0)</f>
        <v>#DIV/0!</v>
      </c>
      <c r="H35" s="28" t="e">
        <f t="shared" si="0"/>
        <v>#DIV/0!</v>
      </c>
    </row>
    <row r="36" spans="1:8" x14ac:dyDescent="0.3">
      <c r="A36" s="8" t="s">
        <v>42</v>
      </c>
      <c r="B36" s="8">
        <f>VLOOKUP(A36,Operations!$A$3:$B$132,2,TRUE)</f>
        <v>0</v>
      </c>
      <c r="C36" s="8">
        <f>VLOOKUP(A36,Operations!$A$3:$C$132,3,0)</f>
        <v>0</v>
      </c>
      <c r="D36" s="2" t="s">
        <v>149</v>
      </c>
      <c r="E36" s="2">
        <f>IFERROR(INDEX(Operations!$H$3:$K$132,MATCH(A36,Operations!$A$3:$A$132,0),MATCH(Link!D36,Operations!$H$2:$K$2,0)),"")</f>
        <v>0</v>
      </c>
      <c r="F36" t="b">
        <f>IF(E36&lt;&gt;0,IFERROR(VLOOKUP(A36,Operations!$A$3:$F$132,6,FALSE)*INDEX(Operations!$L$3:$O$132,MATCH(Link!A36,Operations!$A$3:$A$132,0),MATCH(Link!D36,Operations!$L$2:$O$2,0)),0))</f>
        <v>0</v>
      </c>
      <c r="G36" s="29" t="e">
        <f>ROUND((3600*F36/SUMIF($E$2:$E$521,E36,$F$2:$F$521))/VLOOKUP(A36,Operations!$A$3:$F$132,6,FALSE),0)</f>
        <v>#DIV/0!</v>
      </c>
      <c r="H36" s="28" t="e">
        <f t="shared" si="0"/>
        <v>#DIV/0!</v>
      </c>
    </row>
    <row r="37" spans="1:8" x14ac:dyDescent="0.3">
      <c r="A37" s="8" t="s">
        <v>43</v>
      </c>
      <c r="B37" s="8">
        <f>VLOOKUP(A37,Operations!$A$3:$B$132,2,TRUE)</f>
        <v>0</v>
      </c>
      <c r="C37" s="8">
        <f>VLOOKUP(A37,Operations!$A$3:$C$132,3,0)</f>
        <v>0</v>
      </c>
      <c r="D37" s="2" t="s">
        <v>149</v>
      </c>
      <c r="E37" s="2">
        <f>IFERROR(INDEX(Operations!$H$3:$K$132,MATCH(A37,Operations!$A$3:$A$132,0),MATCH(Link!D37,Operations!$H$2:$K$2,0)),"")</f>
        <v>0</v>
      </c>
      <c r="F37" t="b">
        <f>IF(E37&lt;&gt;0,IFERROR(VLOOKUP(A37,Operations!$A$3:$F$132,6,FALSE)*INDEX(Operations!$L$3:$O$132,MATCH(Link!A37,Operations!$A$3:$A$132,0),MATCH(Link!D37,Operations!$L$2:$O$2,0)),0))</f>
        <v>0</v>
      </c>
      <c r="G37" s="29" t="e">
        <f>ROUND((3600*F37/SUMIF($E$2:$E$521,E37,$F$2:$F$521))/VLOOKUP(A37,Operations!$A$3:$F$132,6,FALSE),0)</f>
        <v>#DIV/0!</v>
      </c>
      <c r="H37" s="28" t="e">
        <f t="shared" si="0"/>
        <v>#DIV/0!</v>
      </c>
    </row>
    <row r="38" spans="1:8" x14ac:dyDescent="0.3">
      <c r="A38" s="8" t="s">
        <v>44</v>
      </c>
      <c r="B38" s="8">
        <f>VLOOKUP(A38,Operations!$A$3:$B$132,2,TRUE)</f>
        <v>0</v>
      </c>
      <c r="C38" s="8">
        <f>VLOOKUP(A38,Operations!$A$3:$C$132,3,0)</f>
        <v>0</v>
      </c>
      <c r="D38" s="2" t="s">
        <v>149</v>
      </c>
      <c r="E38" s="2">
        <f>IFERROR(INDEX(Operations!$H$3:$K$132,MATCH(A38,Operations!$A$3:$A$132,0),MATCH(Link!D38,Operations!$H$2:$K$2,0)),"")</f>
        <v>0</v>
      </c>
      <c r="F38" t="b">
        <f>IF(E38&lt;&gt;0,IFERROR(VLOOKUP(A38,Operations!$A$3:$F$132,6,FALSE)*INDEX(Operations!$L$3:$O$132,MATCH(Link!A38,Operations!$A$3:$A$132,0),MATCH(Link!D38,Operations!$L$2:$O$2,0)),0))</f>
        <v>0</v>
      </c>
      <c r="G38" s="29" t="e">
        <f>ROUND((3600*F38/SUMIF($E$2:$E$521,E38,$F$2:$F$521))/VLOOKUP(A38,Operations!$A$3:$F$132,6,FALSE),0)</f>
        <v>#DIV/0!</v>
      </c>
      <c r="H38" s="28" t="e">
        <f t="shared" si="0"/>
        <v>#DIV/0!</v>
      </c>
    </row>
    <row r="39" spans="1:8" x14ac:dyDescent="0.3">
      <c r="A39" s="8" t="s">
        <v>45</v>
      </c>
      <c r="B39" s="8">
        <f>VLOOKUP(A39,Operations!$A$3:$B$132,2,TRUE)</f>
        <v>0</v>
      </c>
      <c r="C39" s="8">
        <f>VLOOKUP(A39,Operations!$A$3:$C$132,3,0)</f>
        <v>0</v>
      </c>
      <c r="D39" s="2" t="s">
        <v>149</v>
      </c>
      <c r="E39" s="2">
        <f>IFERROR(INDEX(Operations!$H$3:$K$132,MATCH(A39,Operations!$A$3:$A$132,0),MATCH(Link!D39,Operations!$H$2:$K$2,0)),"")</f>
        <v>0</v>
      </c>
      <c r="F39" t="b">
        <f>IF(E39&lt;&gt;0,IFERROR(VLOOKUP(A39,Operations!$A$3:$F$132,6,FALSE)*INDEX(Operations!$L$3:$O$132,MATCH(Link!A39,Operations!$A$3:$A$132,0),MATCH(Link!D39,Operations!$L$2:$O$2,0)),0))</f>
        <v>0</v>
      </c>
      <c r="G39" s="29" t="e">
        <f>ROUND((3600*F39/SUMIF($E$2:$E$521,E39,$F$2:$F$521))/VLOOKUP(A39,Operations!$A$3:$F$132,6,FALSE),0)</f>
        <v>#DIV/0!</v>
      </c>
      <c r="H39" s="28" t="e">
        <f t="shared" si="0"/>
        <v>#DIV/0!</v>
      </c>
    </row>
    <row r="40" spans="1:8" x14ac:dyDescent="0.3">
      <c r="A40" s="8" t="s">
        <v>46</v>
      </c>
      <c r="B40" s="8">
        <f>VLOOKUP(A40,Operations!$A$3:$B$132,2,TRUE)</f>
        <v>0</v>
      </c>
      <c r="C40" s="8">
        <f>VLOOKUP(A40,Operations!$A$3:$C$132,3,0)</f>
        <v>0</v>
      </c>
      <c r="D40" s="2" t="s">
        <v>149</v>
      </c>
      <c r="E40" s="2">
        <f>IFERROR(INDEX(Operations!$H$3:$K$132,MATCH(A40,Operations!$A$3:$A$132,0),MATCH(Link!D40,Operations!$H$2:$K$2,0)),"")</f>
        <v>0</v>
      </c>
      <c r="F40" t="b">
        <f>IF(E40&lt;&gt;0,IFERROR(VLOOKUP(A40,Operations!$A$3:$F$132,6,FALSE)*INDEX(Operations!$L$3:$O$132,MATCH(Link!A40,Operations!$A$3:$A$132,0),MATCH(Link!D40,Operations!$L$2:$O$2,0)),0))</f>
        <v>0</v>
      </c>
      <c r="G40" s="29" t="e">
        <f>ROUND((3600*F40/SUMIF($E$2:$E$521,E40,$F$2:$F$521))/VLOOKUP(A40,Operations!$A$3:$F$132,6,FALSE),0)</f>
        <v>#DIV/0!</v>
      </c>
      <c r="H40" s="28" t="e">
        <f t="shared" si="0"/>
        <v>#DIV/0!</v>
      </c>
    </row>
    <row r="41" spans="1:8" x14ac:dyDescent="0.3">
      <c r="A41" s="8" t="s">
        <v>47</v>
      </c>
      <c r="B41" s="8">
        <f>VLOOKUP(A41,Operations!$A$3:$B$132,2,TRUE)</f>
        <v>0</v>
      </c>
      <c r="C41" s="8">
        <f>VLOOKUP(A41,Operations!$A$3:$C$132,3,0)</f>
        <v>0</v>
      </c>
      <c r="D41" s="2" t="s">
        <v>149</v>
      </c>
      <c r="E41" s="2">
        <f>IFERROR(INDEX(Operations!$H$3:$K$132,MATCH(A41,Operations!$A$3:$A$132,0),MATCH(Link!D41,Operations!$H$2:$K$2,0)),"")</f>
        <v>0</v>
      </c>
      <c r="F41" t="b">
        <f>IF(E41&lt;&gt;0,IFERROR(VLOOKUP(A41,Operations!$A$3:$F$132,6,FALSE)*INDEX(Operations!$L$3:$O$132,MATCH(Link!A41,Operations!$A$3:$A$132,0),MATCH(Link!D41,Operations!$L$2:$O$2,0)),0))</f>
        <v>0</v>
      </c>
      <c r="G41" s="29" t="e">
        <f>ROUND((3600*F41/SUMIF($E$2:$E$521,E41,$F$2:$F$521))/VLOOKUP(A41,Operations!$A$3:$F$132,6,FALSE),0)</f>
        <v>#DIV/0!</v>
      </c>
      <c r="H41" s="28" t="e">
        <f t="shared" si="0"/>
        <v>#DIV/0!</v>
      </c>
    </row>
    <row r="42" spans="1:8" x14ac:dyDescent="0.3">
      <c r="A42" s="8" t="s">
        <v>48</v>
      </c>
      <c r="B42" s="8">
        <f>VLOOKUP(A42,Operations!$A$3:$B$132,2,TRUE)</f>
        <v>0</v>
      </c>
      <c r="C42" s="8">
        <f>VLOOKUP(A42,Operations!$A$3:$C$132,3,0)</f>
        <v>0</v>
      </c>
      <c r="D42" s="2" t="s">
        <v>149</v>
      </c>
      <c r="E42" s="2">
        <f>IFERROR(INDEX(Operations!$H$3:$K$132,MATCH(A42,Operations!$A$3:$A$132,0),MATCH(Link!D42,Operations!$H$2:$K$2,0)),"")</f>
        <v>0</v>
      </c>
      <c r="F42" t="b">
        <f>IF(E42&lt;&gt;0,IFERROR(VLOOKUP(A42,Operations!$A$3:$F$132,6,FALSE)*INDEX(Operations!$L$3:$O$132,MATCH(Link!A42,Operations!$A$3:$A$132,0),MATCH(Link!D42,Operations!$L$2:$O$2,0)),0))</f>
        <v>0</v>
      </c>
      <c r="G42" s="29" t="e">
        <f>ROUND((3600*F42/SUMIF($E$2:$E$521,E42,$F$2:$F$521))/VLOOKUP(A42,Operations!$A$3:$F$132,6,FALSE),0)</f>
        <v>#DIV/0!</v>
      </c>
      <c r="H42" s="28" t="e">
        <f t="shared" si="0"/>
        <v>#DIV/0!</v>
      </c>
    </row>
    <row r="43" spans="1:8" x14ac:dyDescent="0.3">
      <c r="A43" s="8" t="s">
        <v>49</v>
      </c>
      <c r="B43" s="8">
        <f>VLOOKUP(A43,Operations!$A$3:$B$132,2,TRUE)</f>
        <v>0</v>
      </c>
      <c r="C43" s="8">
        <f>VLOOKUP(A43,Operations!$A$3:$C$132,3,0)</f>
        <v>0</v>
      </c>
      <c r="D43" s="2" t="s">
        <v>149</v>
      </c>
      <c r="E43" s="2">
        <f>IFERROR(INDEX(Operations!$H$3:$K$132,MATCH(A43,Operations!$A$3:$A$132,0),MATCH(Link!D43,Operations!$H$2:$K$2,0)),"")</f>
        <v>0</v>
      </c>
      <c r="F43" t="b">
        <f>IF(E43&lt;&gt;0,IFERROR(VLOOKUP(A43,Operations!$A$3:$F$132,6,FALSE)*INDEX(Operations!$L$3:$O$132,MATCH(Link!A43,Operations!$A$3:$A$132,0),MATCH(Link!D43,Operations!$L$2:$O$2,0)),0))</f>
        <v>0</v>
      </c>
      <c r="G43" s="29" t="e">
        <f>ROUND((3600*F43/SUMIF($E$2:$E$521,E43,$F$2:$F$521))/VLOOKUP(A43,Operations!$A$3:$F$132,6,FALSE),0)</f>
        <v>#DIV/0!</v>
      </c>
      <c r="H43" s="28" t="e">
        <f t="shared" si="0"/>
        <v>#DIV/0!</v>
      </c>
    </row>
    <row r="44" spans="1:8" x14ac:dyDescent="0.3">
      <c r="A44" s="8" t="s">
        <v>50</v>
      </c>
      <c r="B44" s="8">
        <f>VLOOKUP(A44,Operations!$A$3:$B$132,2,TRUE)</f>
        <v>0</v>
      </c>
      <c r="C44" s="8">
        <f>VLOOKUP(A44,Operations!$A$3:$C$132,3,0)</f>
        <v>0</v>
      </c>
      <c r="D44" s="2" t="s">
        <v>149</v>
      </c>
      <c r="E44" s="2">
        <f>IFERROR(INDEX(Operations!$H$3:$K$132,MATCH(A44,Operations!$A$3:$A$132,0),MATCH(Link!D44,Operations!$H$2:$K$2,0)),"")</f>
        <v>0</v>
      </c>
      <c r="F44" t="b">
        <f>IF(E44&lt;&gt;0,IFERROR(VLOOKUP(A44,Operations!$A$3:$F$132,6,FALSE)*INDEX(Operations!$L$3:$O$132,MATCH(Link!A44,Operations!$A$3:$A$132,0),MATCH(Link!D44,Operations!$L$2:$O$2,0)),0))</f>
        <v>0</v>
      </c>
      <c r="G44" s="29" t="e">
        <f>ROUND((3600*F44/SUMIF($E$2:$E$521,E44,$F$2:$F$521))/VLOOKUP(A44,Operations!$A$3:$F$132,6,FALSE),0)</f>
        <v>#DIV/0!</v>
      </c>
      <c r="H44" s="28" t="e">
        <f t="shared" si="0"/>
        <v>#DIV/0!</v>
      </c>
    </row>
    <row r="45" spans="1:8" x14ac:dyDescent="0.3">
      <c r="A45" s="8" t="s">
        <v>51</v>
      </c>
      <c r="B45" s="8">
        <f>VLOOKUP(A45,Operations!$A$3:$B$132,2,TRUE)</f>
        <v>0</v>
      </c>
      <c r="C45" s="8">
        <f>VLOOKUP(A45,Operations!$A$3:$C$132,3,0)</f>
        <v>0</v>
      </c>
      <c r="D45" s="2" t="s">
        <v>149</v>
      </c>
      <c r="E45" s="2">
        <f>IFERROR(INDEX(Operations!$H$3:$K$132,MATCH(A45,Operations!$A$3:$A$132,0),MATCH(Link!D45,Operations!$H$2:$K$2,0)),"")</f>
        <v>0</v>
      </c>
      <c r="F45" t="b">
        <f>IF(E45&lt;&gt;0,IFERROR(VLOOKUP(A45,Operations!$A$3:$F$132,6,FALSE)*INDEX(Operations!$L$3:$O$132,MATCH(Link!A45,Operations!$A$3:$A$132,0),MATCH(Link!D45,Operations!$L$2:$O$2,0)),0))</f>
        <v>0</v>
      </c>
      <c r="G45" s="29" t="e">
        <f>ROUND((3600*F45/SUMIF($E$2:$E$521,E45,$F$2:$F$521))/VLOOKUP(A45,Operations!$A$3:$F$132,6,FALSE),0)</f>
        <v>#DIV/0!</v>
      </c>
      <c r="H45" s="28" t="e">
        <f t="shared" si="0"/>
        <v>#DIV/0!</v>
      </c>
    </row>
    <row r="46" spans="1:8" x14ac:dyDescent="0.3">
      <c r="A46" s="8" t="s">
        <v>52</v>
      </c>
      <c r="B46" s="8">
        <f>VLOOKUP(A46,Operations!$A$3:$B$132,2,TRUE)</f>
        <v>0</v>
      </c>
      <c r="C46" s="8">
        <f>VLOOKUP(A46,Operations!$A$3:$C$132,3,0)</f>
        <v>0</v>
      </c>
      <c r="D46" s="2" t="s">
        <v>149</v>
      </c>
      <c r="E46" s="2">
        <f>IFERROR(INDEX(Operations!$H$3:$K$132,MATCH(A46,Operations!$A$3:$A$132,0),MATCH(Link!D46,Operations!$H$2:$K$2,0)),"")</f>
        <v>0</v>
      </c>
      <c r="F46" t="b">
        <f>IF(E46&lt;&gt;0,IFERROR(VLOOKUP(A46,Operations!$A$3:$F$132,6,FALSE)*INDEX(Operations!$L$3:$O$132,MATCH(Link!A46,Operations!$A$3:$A$132,0),MATCH(Link!D46,Operations!$L$2:$O$2,0)),0))</f>
        <v>0</v>
      </c>
      <c r="G46" s="29" t="e">
        <f>ROUND((3600*F46/SUMIF($E$2:$E$521,E46,$F$2:$F$521))/VLOOKUP(A46,Operations!$A$3:$F$132,6,FALSE),0)</f>
        <v>#DIV/0!</v>
      </c>
      <c r="H46" s="28" t="e">
        <f t="shared" si="0"/>
        <v>#DIV/0!</v>
      </c>
    </row>
    <row r="47" spans="1:8" x14ac:dyDescent="0.3">
      <c r="A47" s="8" t="s">
        <v>53</v>
      </c>
      <c r="B47" s="8">
        <f>VLOOKUP(A47,Operations!$A$3:$B$132,2,TRUE)</f>
        <v>0</v>
      </c>
      <c r="C47" s="8">
        <f>VLOOKUP(A47,Operations!$A$3:$C$132,3,0)</f>
        <v>0</v>
      </c>
      <c r="D47" s="2" t="s">
        <v>149</v>
      </c>
      <c r="E47" s="2">
        <f>IFERROR(INDEX(Operations!$H$3:$K$132,MATCH(A47,Operations!$A$3:$A$132,0),MATCH(Link!D47,Operations!$H$2:$K$2,0)),"")</f>
        <v>0</v>
      </c>
      <c r="F47" t="b">
        <f>IF(E47&lt;&gt;0,IFERROR(VLOOKUP(A47,Operations!$A$3:$F$132,6,FALSE)*INDEX(Operations!$L$3:$O$132,MATCH(Link!A47,Operations!$A$3:$A$132,0),MATCH(Link!D47,Operations!$L$2:$O$2,0)),0))</f>
        <v>0</v>
      </c>
      <c r="G47" s="29" t="e">
        <f>ROUND((3600*F47/SUMIF($E$2:$E$521,E47,$F$2:$F$521))/VLOOKUP(A47,Operations!$A$3:$F$132,6,FALSE),0)</f>
        <v>#DIV/0!</v>
      </c>
      <c r="H47" s="28" t="e">
        <f t="shared" si="0"/>
        <v>#DIV/0!</v>
      </c>
    </row>
    <row r="48" spans="1:8" x14ac:dyDescent="0.3">
      <c r="A48" s="8" t="s">
        <v>54</v>
      </c>
      <c r="B48" s="8">
        <f>VLOOKUP(A48,Operations!$A$3:$B$132,2,TRUE)</f>
        <v>0</v>
      </c>
      <c r="C48" s="8">
        <f>VLOOKUP(A48,Operations!$A$3:$C$132,3,0)</f>
        <v>0</v>
      </c>
      <c r="D48" s="2" t="s">
        <v>149</v>
      </c>
      <c r="E48" s="2">
        <f>IFERROR(INDEX(Operations!$H$3:$K$132,MATCH(A48,Operations!$A$3:$A$132,0),MATCH(Link!D48,Operations!$H$2:$K$2,0)),"")</f>
        <v>0</v>
      </c>
      <c r="F48" t="b">
        <f>IF(E48&lt;&gt;0,IFERROR(VLOOKUP(A48,Operations!$A$3:$F$132,6,FALSE)*INDEX(Operations!$L$3:$O$132,MATCH(Link!A48,Operations!$A$3:$A$132,0),MATCH(Link!D48,Operations!$L$2:$O$2,0)),0))</f>
        <v>0</v>
      </c>
      <c r="G48" s="29" t="e">
        <f>ROUND((3600*F48/SUMIF($E$2:$E$521,E48,$F$2:$F$521))/VLOOKUP(A48,Operations!$A$3:$F$132,6,FALSE),0)</f>
        <v>#DIV/0!</v>
      </c>
      <c r="H48" s="28" t="e">
        <f t="shared" si="0"/>
        <v>#DIV/0!</v>
      </c>
    </row>
    <row r="49" spans="1:8" x14ac:dyDescent="0.3">
      <c r="A49" s="8" t="s">
        <v>55</v>
      </c>
      <c r="B49" s="8">
        <f>VLOOKUP(A49,Operations!$A$3:$B$132,2,TRUE)</f>
        <v>0</v>
      </c>
      <c r="C49" s="8">
        <f>VLOOKUP(A49,Operations!$A$3:$C$132,3,0)</f>
        <v>0</v>
      </c>
      <c r="D49" s="2" t="s">
        <v>149</v>
      </c>
      <c r="E49" s="2">
        <f>IFERROR(INDEX(Operations!$H$3:$K$132,MATCH(A49,Operations!$A$3:$A$132,0),MATCH(Link!D49,Operations!$H$2:$K$2,0)),"")</f>
        <v>0</v>
      </c>
      <c r="F49" t="b">
        <f>IF(E49&lt;&gt;0,IFERROR(VLOOKUP(A49,Operations!$A$3:$F$132,6,FALSE)*INDEX(Operations!$L$3:$O$132,MATCH(Link!A49,Operations!$A$3:$A$132,0),MATCH(Link!D49,Operations!$L$2:$O$2,0)),0))</f>
        <v>0</v>
      </c>
      <c r="G49" s="29" t="e">
        <f>ROUND((3600*F49/SUMIF($E$2:$E$521,E49,$F$2:$F$521))/VLOOKUP(A49,Operations!$A$3:$F$132,6,FALSE),0)</f>
        <v>#DIV/0!</v>
      </c>
      <c r="H49" s="28" t="e">
        <f t="shared" si="0"/>
        <v>#DIV/0!</v>
      </c>
    </row>
    <row r="50" spans="1:8" x14ac:dyDescent="0.3">
      <c r="A50" s="8" t="s">
        <v>56</v>
      </c>
      <c r="B50" s="8">
        <f>VLOOKUP(A50,Operations!$A$3:$B$132,2,TRUE)</f>
        <v>0</v>
      </c>
      <c r="C50" s="8">
        <f>VLOOKUP(A50,Operations!$A$3:$C$132,3,0)</f>
        <v>0</v>
      </c>
      <c r="D50" s="2" t="s">
        <v>149</v>
      </c>
      <c r="E50" s="2">
        <f>IFERROR(INDEX(Operations!$H$3:$K$132,MATCH(A50,Operations!$A$3:$A$132,0),MATCH(Link!D50,Operations!$H$2:$K$2,0)),"")</f>
        <v>0</v>
      </c>
      <c r="F50" t="b">
        <f>IF(E50&lt;&gt;0,IFERROR(VLOOKUP(A50,Operations!$A$3:$F$132,6,FALSE)*INDEX(Operations!$L$3:$O$132,MATCH(Link!A50,Operations!$A$3:$A$132,0),MATCH(Link!D50,Operations!$L$2:$O$2,0)),0))</f>
        <v>0</v>
      </c>
      <c r="G50" s="29" t="e">
        <f>ROUND((3600*F50/SUMIF($E$2:$E$521,E50,$F$2:$F$521))/VLOOKUP(A50,Operations!$A$3:$F$132,6,FALSE),0)</f>
        <v>#DIV/0!</v>
      </c>
      <c r="H50" s="28" t="e">
        <f t="shared" si="0"/>
        <v>#DIV/0!</v>
      </c>
    </row>
    <row r="51" spans="1:8" x14ac:dyDescent="0.3">
      <c r="A51" s="8" t="s">
        <v>57</v>
      </c>
      <c r="B51" s="8">
        <f>VLOOKUP(A51,Operations!$A$3:$B$132,2,TRUE)</f>
        <v>0</v>
      </c>
      <c r="C51" s="8">
        <f>VLOOKUP(A51,Operations!$A$3:$C$132,3,0)</f>
        <v>0</v>
      </c>
      <c r="D51" s="2" t="s">
        <v>149</v>
      </c>
      <c r="E51" s="2">
        <f>IFERROR(INDEX(Operations!$H$3:$K$132,MATCH(A51,Operations!$A$3:$A$132,0),MATCH(Link!D51,Operations!$H$2:$K$2,0)),"")</f>
        <v>0</v>
      </c>
      <c r="F51" t="b">
        <f>IF(E51&lt;&gt;0,IFERROR(VLOOKUP(A51,Operations!$A$3:$F$132,6,FALSE)*INDEX(Operations!$L$3:$O$132,MATCH(Link!A51,Operations!$A$3:$A$132,0),MATCH(Link!D51,Operations!$L$2:$O$2,0)),0))</f>
        <v>0</v>
      </c>
      <c r="G51" s="29" t="e">
        <f>ROUND((3600*F51/SUMIF($E$2:$E$521,E51,$F$2:$F$521))/VLOOKUP(A51,Operations!$A$3:$F$132,6,FALSE),0)</f>
        <v>#DIV/0!</v>
      </c>
      <c r="H51" s="28" t="e">
        <f t="shared" si="0"/>
        <v>#DIV/0!</v>
      </c>
    </row>
    <row r="52" spans="1:8" x14ac:dyDescent="0.3">
      <c r="A52" s="8" t="s">
        <v>58</v>
      </c>
      <c r="B52" s="8">
        <f>VLOOKUP(A52,Operations!$A$3:$B$132,2,TRUE)</f>
        <v>0</v>
      </c>
      <c r="C52" s="8">
        <f>VLOOKUP(A52,Operations!$A$3:$C$132,3,0)</f>
        <v>0</v>
      </c>
      <c r="D52" s="2" t="s">
        <v>149</v>
      </c>
      <c r="E52" s="2">
        <f>IFERROR(INDEX(Operations!$H$3:$K$132,MATCH(A52,Operations!$A$3:$A$132,0),MATCH(Link!D52,Operations!$H$2:$K$2,0)),"")</f>
        <v>0</v>
      </c>
      <c r="F52" t="b">
        <f>IF(E52&lt;&gt;0,IFERROR(VLOOKUP(A52,Operations!$A$3:$F$132,6,FALSE)*INDEX(Operations!$L$3:$O$132,MATCH(Link!A52,Operations!$A$3:$A$132,0),MATCH(Link!D52,Operations!$L$2:$O$2,0)),0))</f>
        <v>0</v>
      </c>
      <c r="G52" s="29" t="e">
        <f>ROUND((3600*F52/SUMIF($E$2:$E$521,E52,$F$2:$F$521))/VLOOKUP(A52,Operations!$A$3:$F$132,6,FALSE),0)</f>
        <v>#DIV/0!</v>
      </c>
      <c r="H52" s="28" t="e">
        <f t="shared" si="0"/>
        <v>#DIV/0!</v>
      </c>
    </row>
    <row r="53" spans="1:8" x14ac:dyDescent="0.3">
      <c r="A53" s="8" t="s">
        <v>59</v>
      </c>
      <c r="B53" s="8">
        <f>VLOOKUP(A53,Operations!$A$3:$B$132,2,TRUE)</f>
        <v>0</v>
      </c>
      <c r="C53" s="8">
        <f>VLOOKUP(A53,Operations!$A$3:$C$132,3,0)</f>
        <v>0</v>
      </c>
      <c r="D53" s="2" t="s">
        <v>149</v>
      </c>
      <c r="E53" s="2">
        <f>IFERROR(INDEX(Operations!$H$3:$K$132,MATCH(A53,Operations!$A$3:$A$132,0),MATCH(Link!D53,Operations!$H$2:$K$2,0)),"")</f>
        <v>0</v>
      </c>
      <c r="F53" t="b">
        <f>IF(E53&lt;&gt;0,IFERROR(VLOOKUP(A53,Operations!$A$3:$F$132,6,FALSE)*INDEX(Operations!$L$3:$O$132,MATCH(Link!A53,Operations!$A$3:$A$132,0),MATCH(Link!D53,Operations!$L$2:$O$2,0)),0))</f>
        <v>0</v>
      </c>
      <c r="G53" s="29" t="e">
        <f>ROUND((3600*F53/SUMIF($E$2:$E$521,E53,$F$2:$F$521))/VLOOKUP(A53,Operations!$A$3:$F$132,6,FALSE),0)</f>
        <v>#DIV/0!</v>
      </c>
      <c r="H53" s="28" t="e">
        <f t="shared" si="0"/>
        <v>#DIV/0!</v>
      </c>
    </row>
    <row r="54" spans="1:8" x14ac:dyDescent="0.3">
      <c r="A54" s="8" t="s">
        <v>60</v>
      </c>
      <c r="B54" s="8">
        <f>VLOOKUP(A54,Operations!$A$3:$B$132,2,TRUE)</f>
        <v>0</v>
      </c>
      <c r="C54" s="8">
        <f>VLOOKUP(A54,Operations!$A$3:$C$132,3,0)</f>
        <v>0</v>
      </c>
      <c r="D54" s="2" t="s">
        <v>149</v>
      </c>
      <c r="E54" s="2">
        <f>IFERROR(INDEX(Operations!$H$3:$K$132,MATCH(A54,Operations!$A$3:$A$132,0),MATCH(Link!D54,Operations!$H$2:$K$2,0)),"")</f>
        <v>0</v>
      </c>
      <c r="F54" t="b">
        <f>IF(E54&lt;&gt;0,IFERROR(VLOOKUP(A54,Operations!$A$3:$F$132,6,FALSE)*INDEX(Operations!$L$3:$O$132,MATCH(Link!A54,Operations!$A$3:$A$132,0),MATCH(Link!D54,Operations!$L$2:$O$2,0)),0))</f>
        <v>0</v>
      </c>
      <c r="G54" s="29" t="e">
        <f>ROUND((3600*F54/SUMIF($E$2:$E$521,E54,$F$2:$F$521))/VLOOKUP(A54,Operations!$A$3:$F$132,6,FALSE),0)</f>
        <v>#DIV/0!</v>
      </c>
      <c r="H54" s="28" t="e">
        <f t="shared" si="0"/>
        <v>#DIV/0!</v>
      </c>
    </row>
    <row r="55" spans="1:8" x14ac:dyDescent="0.3">
      <c r="A55" s="8" t="s">
        <v>61</v>
      </c>
      <c r="B55" s="8">
        <f>VLOOKUP(A55,Operations!$A$3:$B$132,2,TRUE)</f>
        <v>0</v>
      </c>
      <c r="C55" s="8">
        <f>VLOOKUP(A55,Operations!$A$3:$C$132,3,0)</f>
        <v>0</v>
      </c>
      <c r="D55" s="2" t="s">
        <v>149</v>
      </c>
      <c r="E55" s="2">
        <f>IFERROR(INDEX(Operations!$H$3:$K$132,MATCH(A55,Operations!$A$3:$A$132,0),MATCH(Link!D55,Operations!$H$2:$K$2,0)),"")</f>
        <v>0</v>
      </c>
      <c r="F55" t="b">
        <f>IF(E55&lt;&gt;0,IFERROR(VLOOKUP(A55,Operations!$A$3:$F$132,6,FALSE)*INDEX(Operations!$L$3:$O$132,MATCH(Link!A55,Operations!$A$3:$A$132,0),MATCH(Link!D55,Operations!$L$2:$O$2,0)),0))</f>
        <v>0</v>
      </c>
      <c r="G55" s="29" t="e">
        <f>ROUND((3600*F55/SUMIF($E$2:$E$521,E55,$F$2:$F$521))/VLOOKUP(A55,Operations!$A$3:$F$132,6,FALSE),0)</f>
        <v>#DIV/0!</v>
      </c>
      <c r="H55" s="28" t="e">
        <f t="shared" si="0"/>
        <v>#DIV/0!</v>
      </c>
    </row>
    <row r="56" spans="1:8" x14ac:dyDescent="0.3">
      <c r="A56" s="8" t="s">
        <v>62</v>
      </c>
      <c r="B56" s="8">
        <f>VLOOKUP(A56,Operations!$A$3:$B$132,2,TRUE)</f>
        <v>0</v>
      </c>
      <c r="C56" s="8">
        <f>VLOOKUP(A56,Operations!$A$3:$C$132,3,0)</f>
        <v>0</v>
      </c>
      <c r="D56" s="2" t="s">
        <v>149</v>
      </c>
      <c r="E56" s="2">
        <f>IFERROR(INDEX(Operations!$H$3:$K$132,MATCH(A56,Operations!$A$3:$A$132,0),MATCH(Link!D56,Operations!$H$2:$K$2,0)),"")</f>
        <v>0</v>
      </c>
      <c r="F56" t="b">
        <f>IF(E56&lt;&gt;0,IFERROR(VLOOKUP(A56,Operations!$A$3:$F$132,6,FALSE)*INDEX(Operations!$L$3:$O$132,MATCH(Link!A56,Operations!$A$3:$A$132,0),MATCH(Link!D56,Operations!$L$2:$O$2,0)),0))</f>
        <v>0</v>
      </c>
      <c r="G56" s="29" t="e">
        <f>ROUND((3600*F56/SUMIF($E$2:$E$521,E56,$F$2:$F$521))/VLOOKUP(A56,Operations!$A$3:$F$132,6,FALSE),0)</f>
        <v>#DIV/0!</v>
      </c>
      <c r="H56" s="28" t="e">
        <f t="shared" si="0"/>
        <v>#DIV/0!</v>
      </c>
    </row>
    <row r="57" spans="1:8" x14ac:dyDescent="0.3">
      <c r="A57" s="8" t="s">
        <v>63</v>
      </c>
      <c r="B57" s="8">
        <f>VLOOKUP(A57,Operations!$A$3:$B$132,2,TRUE)</f>
        <v>0</v>
      </c>
      <c r="C57" s="8">
        <f>VLOOKUP(A57,Operations!$A$3:$C$132,3,0)</f>
        <v>0</v>
      </c>
      <c r="D57" s="2" t="s">
        <v>149</v>
      </c>
      <c r="E57" s="2">
        <f>IFERROR(INDEX(Operations!$H$3:$K$132,MATCH(A57,Operations!$A$3:$A$132,0),MATCH(Link!D57,Operations!$H$2:$K$2,0)),"")</f>
        <v>0</v>
      </c>
      <c r="F57" t="b">
        <f>IF(E57&lt;&gt;0,IFERROR(VLOOKUP(A57,Operations!$A$3:$F$132,6,FALSE)*INDEX(Operations!$L$3:$O$132,MATCH(Link!A57,Operations!$A$3:$A$132,0),MATCH(Link!D57,Operations!$L$2:$O$2,0)),0))</f>
        <v>0</v>
      </c>
      <c r="G57" s="29" t="e">
        <f>ROUND((3600*F57/SUMIF($E$2:$E$521,E57,$F$2:$F$521))/VLOOKUP(A57,Operations!$A$3:$F$132,6,FALSE),0)</f>
        <v>#DIV/0!</v>
      </c>
      <c r="H57" s="28" t="e">
        <f t="shared" si="0"/>
        <v>#DIV/0!</v>
      </c>
    </row>
    <row r="58" spans="1:8" x14ac:dyDescent="0.3">
      <c r="A58" s="8" t="s">
        <v>64</v>
      </c>
      <c r="B58" s="8">
        <f>VLOOKUP(A58,Operations!$A$3:$B$132,2,TRUE)</f>
        <v>0</v>
      </c>
      <c r="C58" s="8">
        <f>VLOOKUP(A58,Operations!$A$3:$C$132,3,0)</f>
        <v>0</v>
      </c>
      <c r="D58" s="2" t="s">
        <v>149</v>
      </c>
      <c r="E58" s="2">
        <f>IFERROR(INDEX(Operations!$H$3:$K$132,MATCH(A58,Operations!$A$3:$A$132,0),MATCH(Link!D58,Operations!$H$2:$K$2,0)),"")</f>
        <v>0</v>
      </c>
      <c r="F58" t="b">
        <f>IF(E58&lt;&gt;0,IFERROR(VLOOKUP(A58,Operations!$A$3:$F$132,6,FALSE)*INDEX(Operations!$L$3:$O$132,MATCH(Link!A58,Operations!$A$3:$A$132,0),MATCH(Link!D58,Operations!$L$2:$O$2,0)),0))</f>
        <v>0</v>
      </c>
      <c r="G58" s="29" t="e">
        <f>ROUND((3600*F58/SUMIF($E$2:$E$521,E58,$F$2:$F$521))/VLOOKUP(A58,Operations!$A$3:$F$132,6,FALSE),0)</f>
        <v>#DIV/0!</v>
      </c>
      <c r="H58" s="28" t="e">
        <f t="shared" si="0"/>
        <v>#DIV/0!</v>
      </c>
    </row>
    <row r="59" spans="1:8" x14ac:dyDescent="0.3">
      <c r="A59" s="8" t="s">
        <v>65</v>
      </c>
      <c r="B59" s="8">
        <f>VLOOKUP(A59,Operations!$A$3:$B$132,2,TRUE)</f>
        <v>0</v>
      </c>
      <c r="C59" s="8">
        <f>VLOOKUP(A59,Operations!$A$3:$C$132,3,0)</f>
        <v>0</v>
      </c>
      <c r="D59" s="2" t="s">
        <v>149</v>
      </c>
      <c r="E59" s="2">
        <f>IFERROR(INDEX(Operations!$H$3:$K$132,MATCH(A59,Operations!$A$3:$A$132,0),MATCH(Link!D59,Operations!$H$2:$K$2,0)),"")</f>
        <v>0</v>
      </c>
      <c r="F59" t="b">
        <f>IF(E59&lt;&gt;0,IFERROR(VLOOKUP(A59,Operations!$A$3:$F$132,6,FALSE)*INDEX(Operations!$L$3:$O$132,MATCH(Link!A59,Operations!$A$3:$A$132,0),MATCH(Link!D59,Operations!$L$2:$O$2,0)),0))</f>
        <v>0</v>
      </c>
      <c r="G59" s="29" t="e">
        <f>ROUND((3600*F59/SUMIF($E$2:$E$521,E59,$F$2:$F$521))/VLOOKUP(A59,Operations!$A$3:$F$132,6,FALSE),0)</f>
        <v>#DIV/0!</v>
      </c>
      <c r="H59" s="28" t="e">
        <f t="shared" si="0"/>
        <v>#DIV/0!</v>
      </c>
    </row>
    <row r="60" spans="1:8" x14ac:dyDescent="0.3">
      <c r="A60" s="8" t="s">
        <v>66</v>
      </c>
      <c r="B60" s="8">
        <f>VLOOKUP(A60,Operations!$A$3:$B$132,2,TRUE)</f>
        <v>0</v>
      </c>
      <c r="C60" s="8">
        <f>VLOOKUP(A60,Operations!$A$3:$C$132,3,0)</f>
        <v>0</v>
      </c>
      <c r="D60" s="2" t="s">
        <v>149</v>
      </c>
      <c r="E60" s="2">
        <f>IFERROR(INDEX(Operations!$H$3:$K$132,MATCH(A60,Operations!$A$3:$A$132,0),MATCH(Link!D60,Operations!$H$2:$K$2,0)),"")</f>
        <v>0</v>
      </c>
      <c r="F60" t="b">
        <f>IF(E60&lt;&gt;0,IFERROR(VLOOKUP(A60,Operations!$A$3:$F$132,6,FALSE)*INDEX(Operations!$L$3:$O$132,MATCH(Link!A60,Operations!$A$3:$A$132,0),MATCH(Link!D60,Operations!$L$2:$O$2,0)),0))</f>
        <v>0</v>
      </c>
      <c r="G60" s="29" t="e">
        <f>ROUND((3600*F60/SUMIF($E$2:$E$521,E60,$F$2:$F$521))/VLOOKUP(A60,Operations!$A$3:$F$132,6,FALSE),0)</f>
        <v>#DIV/0!</v>
      </c>
      <c r="H60" s="28" t="e">
        <f t="shared" si="0"/>
        <v>#DIV/0!</v>
      </c>
    </row>
    <row r="61" spans="1:8" x14ac:dyDescent="0.3">
      <c r="A61" s="8" t="s">
        <v>67</v>
      </c>
      <c r="B61" s="8">
        <f>VLOOKUP(A61,Operations!$A$3:$B$132,2,TRUE)</f>
        <v>0</v>
      </c>
      <c r="C61" s="8">
        <f>VLOOKUP(A61,Operations!$A$3:$C$132,3,0)</f>
        <v>0</v>
      </c>
      <c r="D61" s="2" t="s">
        <v>149</v>
      </c>
      <c r="E61" s="2">
        <f>IFERROR(INDEX(Operations!$H$3:$K$132,MATCH(A61,Operations!$A$3:$A$132,0),MATCH(Link!D61,Operations!$H$2:$K$2,0)),"")</f>
        <v>0</v>
      </c>
      <c r="F61" t="b">
        <f>IF(E61&lt;&gt;0,IFERROR(VLOOKUP(A61,Operations!$A$3:$F$132,6,FALSE)*INDEX(Operations!$L$3:$O$132,MATCH(Link!A61,Operations!$A$3:$A$132,0),MATCH(Link!D61,Operations!$L$2:$O$2,0)),0))</f>
        <v>0</v>
      </c>
      <c r="G61" s="29" t="e">
        <f>ROUND((3600*F61/SUMIF($E$2:$E$521,E61,$F$2:$F$521))/VLOOKUP(A61,Operations!$A$3:$F$132,6,FALSE),0)</f>
        <v>#DIV/0!</v>
      </c>
      <c r="H61" s="28" t="e">
        <f t="shared" si="0"/>
        <v>#DIV/0!</v>
      </c>
    </row>
    <row r="62" spans="1:8" x14ac:dyDescent="0.3">
      <c r="A62" s="8" t="s">
        <v>68</v>
      </c>
      <c r="B62" s="8">
        <f>VLOOKUP(A62,Operations!$A$3:$B$132,2,TRUE)</f>
        <v>0</v>
      </c>
      <c r="C62" s="8">
        <f>VLOOKUP(A62,Operations!$A$3:$C$132,3,0)</f>
        <v>0</v>
      </c>
      <c r="D62" s="2" t="s">
        <v>149</v>
      </c>
      <c r="E62" s="2">
        <f>IFERROR(INDEX(Operations!$H$3:$K$132,MATCH(A62,Operations!$A$3:$A$132,0),MATCH(Link!D62,Operations!$H$2:$K$2,0)),"")</f>
        <v>0</v>
      </c>
      <c r="F62" t="b">
        <f>IF(E62&lt;&gt;0,IFERROR(VLOOKUP(A62,Operations!$A$3:$F$132,6,FALSE)*INDEX(Operations!$L$3:$O$132,MATCH(Link!A62,Operations!$A$3:$A$132,0),MATCH(Link!D62,Operations!$L$2:$O$2,0)),0))</f>
        <v>0</v>
      </c>
      <c r="G62" s="29" t="e">
        <f>ROUND((3600*F62/SUMIF($E$2:$E$521,E62,$F$2:$F$521))/VLOOKUP(A62,Operations!$A$3:$F$132,6,FALSE),0)</f>
        <v>#DIV/0!</v>
      </c>
      <c r="H62" s="28" t="e">
        <f t="shared" si="0"/>
        <v>#DIV/0!</v>
      </c>
    </row>
    <row r="63" spans="1:8" x14ac:dyDescent="0.3">
      <c r="A63" s="8" t="s">
        <v>69</v>
      </c>
      <c r="B63" s="8">
        <f>VLOOKUP(A63,Operations!$A$3:$B$132,2,TRUE)</f>
        <v>0</v>
      </c>
      <c r="C63" s="8">
        <f>VLOOKUP(A63,Operations!$A$3:$C$132,3,0)</f>
        <v>0</v>
      </c>
      <c r="D63" s="2" t="s">
        <v>149</v>
      </c>
      <c r="E63" s="2">
        <f>IFERROR(INDEX(Operations!$H$3:$K$132,MATCH(A63,Operations!$A$3:$A$132,0),MATCH(Link!D63,Operations!$H$2:$K$2,0)),"")</f>
        <v>0</v>
      </c>
      <c r="F63" t="b">
        <f>IF(E63&lt;&gt;0,IFERROR(VLOOKUP(A63,Operations!$A$3:$F$132,6,FALSE)*INDEX(Operations!$L$3:$O$132,MATCH(Link!A63,Operations!$A$3:$A$132,0),MATCH(Link!D63,Operations!$L$2:$O$2,0)),0))</f>
        <v>0</v>
      </c>
      <c r="G63" s="29" t="e">
        <f>ROUND((3600*F63/SUMIF($E$2:$E$521,E63,$F$2:$F$521))/VLOOKUP(A63,Operations!$A$3:$F$132,6,FALSE),0)</f>
        <v>#DIV/0!</v>
      </c>
      <c r="H63" s="28" t="e">
        <f t="shared" si="0"/>
        <v>#DIV/0!</v>
      </c>
    </row>
    <row r="64" spans="1:8" x14ac:dyDescent="0.3">
      <c r="A64" s="8" t="s">
        <v>70</v>
      </c>
      <c r="B64" s="8">
        <f>VLOOKUP(A64,Operations!$A$3:$B$132,2,TRUE)</f>
        <v>0</v>
      </c>
      <c r="C64" s="8">
        <f>VLOOKUP(A64,Operations!$A$3:$C$132,3,0)</f>
        <v>0</v>
      </c>
      <c r="D64" s="2" t="s">
        <v>149</v>
      </c>
      <c r="E64" s="2">
        <f>IFERROR(INDEX(Operations!$H$3:$K$132,MATCH(A64,Operations!$A$3:$A$132,0),MATCH(Link!D64,Operations!$H$2:$K$2,0)),"")</f>
        <v>0</v>
      </c>
      <c r="F64" t="b">
        <f>IF(E64&lt;&gt;0,IFERROR(VLOOKUP(A64,Operations!$A$3:$F$132,6,FALSE)*INDEX(Operations!$L$3:$O$132,MATCH(Link!A64,Operations!$A$3:$A$132,0),MATCH(Link!D64,Operations!$L$2:$O$2,0)),0))</f>
        <v>0</v>
      </c>
      <c r="G64" s="29" t="e">
        <f>ROUND((3600*F64/SUMIF($E$2:$E$521,E64,$F$2:$F$521))/VLOOKUP(A64,Operations!$A$3:$F$132,6,FALSE),0)</f>
        <v>#DIV/0!</v>
      </c>
      <c r="H64" s="28" t="e">
        <f t="shared" si="0"/>
        <v>#DIV/0!</v>
      </c>
    </row>
    <row r="65" spans="1:8" x14ac:dyDescent="0.3">
      <c r="A65" s="8" t="s">
        <v>71</v>
      </c>
      <c r="B65" s="8">
        <f>VLOOKUP(A65,Operations!$A$3:$B$132,2,TRUE)</f>
        <v>0</v>
      </c>
      <c r="C65" s="8">
        <f>VLOOKUP(A65,Operations!$A$3:$C$132,3,0)</f>
        <v>0</v>
      </c>
      <c r="D65" s="2" t="s">
        <v>149</v>
      </c>
      <c r="E65" s="2">
        <f>IFERROR(INDEX(Operations!$H$3:$K$132,MATCH(A65,Operations!$A$3:$A$132,0),MATCH(Link!D65,Operations!$H$2:$K$2,0)),"")</f>
        <v>0</v>
      </c>
      <c r="F65" t="b">
        <f>IF(E65&lt;&gt;0,IFERROR(VLOOKUP(A65,Operations!$A$3:$F$132,6,FALSE)*INDEX(Operations!$L$3:$O$132,MATCH(Link!A65,Operations!$A$3:$A$132,0),MATCH(Link!D65,Operations!$L$2:$O$2,0)),0))</f>
        <v>0</v>
      </c>
      <c r="G65" s="29" t="e">
        <f>ROUND((3600*F65/SUMIF($E$2:$E$521,E65,$F$2:$F$521))/VLOOKUP(A65,Operations!$A$3:$F$132,6,FALSE),0)</f>
        <v>#DIV/0!</v>
      </c>
      <c r="H65" s="28" t="e">
        <f t="shared" si="0"/>
        <v>#DIV/0!</v>
      </c>
    </row>
    <row r="66" spans="1:8" x14ac:dyDescent="0.3">
      <c r="A66" s="8" t="s">
        <v>72</v>
      </c>
      <c r="B66" s="8">
        <f>VLOOKUP(A66,Operations!$A$3:$B$132,2,TRUE)</f>
        <v>0</v>
      </c>
      <c r="C66" s="8">
        <f>VLOOKUP(A66,Operations!$A$3:$C$132,3,0)</f>
        <v>0</v>
      </c>
      <c r="D66" s="2" t="s">
        <v>149</v>
      </c>
      <c r="E66" s="2">
        <f>IFERROR(INDEX(Operations!$H$3:$K$132,MATCH(A66,Operations!$A$3:$A$132,0),MATCH(Link!D66,Operations!$H$2:$K$2,0)),"")</f>
        <v>0</v>
      </c>
      <c r="F66" t="b">
        <f>IF(E66&lt;&gt;0,IFERROR(VLOOKUP(A66,Operations!$A$3:$F$132,6,FALSE)*INDEX(Operations!$L$3:$O$132,MATCH(Link!A66,Operations!$A$3:$A$132,0),MATCH(Link!D66,Operations!$L$2:$O$2,0)),0))</f>
        <v>0</v>
      </c>
      <c r="G66" s="29" t="e">
        <f>ROUND((3600*F66/SUMIF($E$2:$E$521,E66,$F$2:$F$521))/VLOOKUP(A66,Operations!$A$3:$F$132,6,FALSE),0)</f>
        <v>#DIV/0!</v>
      </c>
      <c r="H66" s="28" t="e">
        <f t="shared" si="0"/>
        <v>#DIV/0!</v>
      </c>
    </row>
    <row r="67" spans="1:8" x14ac:dyDescent="0.3">
      <c r="A67" s="8" t="s">
        <v>73</v>
      </c>
      <c r="B67" s="8">
        <f>VLOOKUP(A67,Operations!$A$3:$B$132,2,TRUE)</f>
        <v>0</v>
      </c>
      <c r="C67" s="8">
        <f>VLOOKUP(A67,Operations!$A$3:$C$132,3,0)</f>
        <v>0</v>
      </c>
      <c r="D67" s="2" t="s">
        <v>149</v>
      </c>
      <c r="E67" s="2">
        <f>IFERROR(INDEX(Operations!$H$3:$K$132,MATCH(A67,Operations!$A$3:$A$132,0),MATCH(Link!D67,Operations!$H$2:$K$2,0)),"")</f>
        <v>0</v>
      </c>
      <c r="F67" t="b">
        <f>IF(E67&lt;&gt;0,IFERROR(VLOOKUP(A67,Operations!$A$3:$F$132,6,FALSE)*INDEX(Operations!$L$3:$O$132,MATCH(Link!A67,Operations!$A$3:$A$132,0),MATCH(Link!D67,Operations!$L$2:$O$2,0)),0))</f>
        <v>0</v>
      </c>
      <c r="G67" s="29" t="e">
        <f>ROUND((3600*F67/SUMIF($E$2:$E$521,E67,$F$2:$F$521))/VLOOKUP(A67,Operations!$A$3:$F$132,6,FALSE),0)</f>
        <v>#DIV/0!</v>
      </c>
      <c r="H67" s="28" t="e">
        <f t="shared" ref="H67:H130" si="1">C67&amp;":"&amp;" "&amp;G67</f>
        <v>#DIV/0!</v>
      </c>
    </row>
    <row r="68" spans="1:8" x14ac:dyDescent="0.3">
      <c r="A68" s="8" t="s">
        <v>74</v>
      </c>
      <c r="B68" s="8">
        <f>VLOOKUP(A68,Operations!$A$3:$B$132,2,TRUE)</f>
        <v>0</v>
      </c>
      <c r="C68" s="8">
        <f>VLOOKUP(A68,Operations!$A$3:$C$132,3,0)</f>
        <v>0</v>
      </c>
      <c r="D68" s="2" t="s">
        <v>149</v>
      </c>
      <c r="E68" s="2">
        <f>IFERROR(INDEX(Operations!$H$3:$K$132,MATCH(A68,Operations!$A$3:$A$132,0),MATCH(Link!D68,Operations!$H$2:$K$2,0)),"")</f>
        <v>0</v>
      </c>
      <c r="F68" t="b">
        <f>IF(E68&lt;&gt;0,IFERROR(VLOOKUP(A68,Operations!$A$3:$F$132,6,FALSE)*INDEX(Operations!$L$3:$O$132,MATCH(Link!A68,Operations!$A$3:$A$132,0),MATCH(Link!D68,Operations!$L$2:$O$2,0)),0))</f>
        <v>0</v>
      </c>
      <c r="G68" s="29" t="e">
        <f>ROUND((3600*F68/SUMIF($E$2:$E$521,E68,$F$2:$F$521))/VLOOKUP(A68,Operations!$A$3:$F$132,6,FALSE),0)</f>
        <v>#DIV/0!</v>
      </c>
      <c r="H68" s="28" t="e">
        <f t="shared" si="1"/>
        <v>#DIV/0!</v>
      </c>
    </row>
    <row r="69" spans="1:8" x14ac:dyDescent="0.3">
      <c r="A69" s="8" t="s">
        <v>75</v>
      </c>
      <c r="B69" s="8">
        <f>VLOOKUP(A69,Operations!$A$3:$B$132,2,TRUE)</f>
        <v>0</v>
      </c>
      <c r="C69" s="8">
        <f>VLOOKUP(A69,Operations!$A$3:$C$132,3,0)</f>
        <v>0</v>
      </c>
      <c r="D69" s="2" t="s">
        <v>149</v>
      </c>
      <c r="E69" s="2">
        <f>IFERROR(INDEX(Operations!$H$3:$K$132,MATCH(A69,Operations!$A$3:$A$132,0),MATCH(Link!D69,Operations!$H$2:$K$2,0)),"")</f>
        <v>0</v>
      </c>
      <c r="F69" t="b">
        <f>IF(E69&lt;&gt;0,IFERROR(VLOOKUP(A69,Operations!$A$3:$F$132,6,FALSE)*INDEX(Operations!$L$3:$O$132,MATCH(Link!A69,Operations!$A$3:$A$132,0),MATCH(Link!D69,Operations!$L$2:$O$2,0)),0))</f>
        <v>0</v>
      </c>
      <c r="G69" s="29" t="e">
        <f>ROUND((3600*F69/SUMIF($E$2:$E$521,E69,$F$2:$F$521))/VLOOKUP(A69,Operations!$A$3:$F$132,6,FALSE),0)</f>
        <v>#DIV/0!</v>
      </c>
      <c r="H69" s="28" t="e">
        <f t="shared" si="1"/>
        <v>#DIV/0!</v>
      </c>
    </row>
    <row r="70" spans="1:8" x14ac:dyDescent="0.3">
      <c r="A70" s="8" t="s">
        <v>76</v>
      </c>
      <c r="B70" s="8">
        <f>VLOOKUP(A70,Operations!$A$3:$B$132,2,TRUE)</f>
        <v>0</v>
      </c>
      <c r="C70" s="8">
        <f>VLOOKUP(A70,Operations!$A$3:$C$132,3,0)</f>
        <v>0</v>
      </c>
      <c r="D70" s="2" t="s">
        <v>149</v>
      </c>
      <c r="E70" s="2">
        <f>IFERROR(INDEX(Operations!$H$3:$K$132,MATCH(A70,Operations!$A$3:$A$132,0),MATCH(Link!D70,Operations!$H$2:$K$2,0)),"")</f>
        <v>0</v>
      </c>
      <c r="F70" t="b">
        <f>IF(E70&lt;&gt;0,IFERROR(VLOOKUP(A70,Operations!$A$3:$F$132,6,FALSE)*INDEX(Operations!$L$3:$O$132,MATCH(Link!A70,Operations!$A$3:$A$132,0),MATCH(Link!D70,Operations!$L$2:$O$2,0)),0))</f>
        <v>0</v>
      </c>
      <c r="G70" s="29" t="e">
        <f>ROUND((3600*F70/SUMIF($E$2:$E$521,E70,$F$2:$F$521))/VLOOKUP(A70,Operations!$A$3:$F$132,6,FALSE),0)</f>
        <v>#DIV/0!</v>
      </c>
      <c r="H70" s="28" t="e">
        <f t="shared" si="1"/>
        <v>#DIV/0!</v>
      </c>
    </row>
    <row r="71" spans="1:8" x14ac:dyDescent="0.3">
      <c r="A71" s="8" t="s">
        <v>77</v>
      </c>
      <c r="B71" s="8">
        <f>VLOOKUP(A71,Operations!$A$3:$B$132,2,TRUE)</f>
        <v>0</v>
      </c>
      <c r="C71" s="8">
        <f>VLOOKUP(A71,Operations!$A$3:$C$132,3,0)</f>
        <v>0</v>
      </c>
      <c r="D71" s="2" t="s">
        <v>149</v>
      </c>
      <c r="E71" s="2">
        <f>IFERROR(INDEX(Operations!$H$3:$K$132,MATCH(A71,Operations!$A$3:$A$132,0),MATCH(Link!D71,Operations!$H$2:$K$2,0)),"")</f>
        <v>0</v>
      </c>
      <c r="F71" t="b">
        <f>IF(E71&lt;&gt;0,IFERROR(VLOOKUP(A71,Operations!$A$3:$F$132,6,FALSE)*INDEX(Operations!$L$3:$O$132,MATCH(Link!A71,Operations!$A$3:$A$132,0),MATCH(Link!D71,Operations!$L$2:$O$2,0)),0))</f>
        <v>0</v>
      </c>
      <c r="G71" s="29" t="e">
        <f>ROUND((3600*F71/SUMIF($E$2:$E$521,E71,$F$2:$F$521))/VLOOKUP(A71,Operations!$A$3:$F$132,6,FALSE),0)</f>
        <v>#DIV/0!</v>
      </c>
      <c r="H71" s="28" t="e">
        <f t="shared" si="1"/>
        <v>#DIV/0!</v>
      </c>
    </row>
    <row r="72" spans="1:8" x14ac:dyDescent="0.3">
      <c r="A72" s="8" t="s">
        <v>78</v>
      </c>
      <c r="B72" s="8">
        <f>VLOOKUP(A72,Operations!$A$3:$B$132,2,TRUE)</f>
        <v>0</v>
      </c>
      <c r="C72" s="8">
        <f>VLOOKUP(A72,Operations!$A$3:$C$132,3,0)</f>
        <v>0</v>
      </c>
      <c r="D72" s="2" t="s">
        <v>149</v>
      </c>
      <c r="E72" s="2">
        <f>IFERROR(INDEX(Operations!$H$3:$K$132,MATCH(A72,Operations!$A$3:$A$132,0),MATCH(Link!D72,Operations!$H$2:$K$2,0)),"")</f>
        <v>0</v>
      </c>
      <c r="F72" t="b">
        <f>IF(E72&lt;&gt;0,IFERROR(VLOOKUP(A72,Operations!$A$3:$F$132,6,FALSE)*INDEX(Operations!$L$3:$O$132,MATCH(Link!A72,Operations!$A$3:$A$132,0),MATCH(Link!D72,Operations!$L$2:$O$2,0)),0))</f>
        <v>0</v>
      </c>
      <c r="G72" s="29" t="e">
        <f>ROUND((3600*F72/SUMIF($E$2:$E$521,E72,$F$2:$F$521))/VLOOKUP(A72,Operations!$A$3:$F$132,6,FALSE),0)</f>
        <v>#DIV/0!</v>
      </c>
      <c r="H72" s="28" t="e">
        <f t="shared" si="1"/>
        <v>#DIV/0!</v>
      </c>
    </row>
    <row r="73" spans="1:8" x14ac:dyDescent="0.3">
      <c r="A73" s="8" t="s">
        <v>79</v>
      </c>
      <c r="B73" s="8">
        <f>VLOOKUP(A73,Operations!$A$3:$B$132,2,TRUE)</f>
        <v>0</v>
      </c>
      <c r="C73" s="8">
        <f>VLOOKUP(A73,Operations!$A$3:$C$132,3,0)</f>
        <v>0</v>
      </c>
      <c r="D73" s="2" t="s">
        <v>149</v>
      </c>
      <c r="E73" s="2">
        <f>IFERROR(INDEX(Operations!$H$3:$K$132,MATCH(A73,Operations!$A$3:$A$132,0),MATCH(Link!D73,Operations!$H$2:$K$2,0)),"")</f>
        <v>0</v>
      </c>
      <c r="F73" t="b">
        <f>IF(E73&lt;&gt;0,IFERROR(VLOOKUP(A73,Operations!$A$3:$F$132,6,FALSE)*INDEX(Operations!$L$3:$O$132,MATCH(Link!A73,Operations!$A$3:$A$132,0),MATCH(Link!D73,Operations!$L$2:$O$2,0)),0))</f>
        <v>0</v>
      </c>
      <c r="G73" s="29" t="e">
        <f>ROUND((3600*F73/SUMIF($E$2:$E$521,E73,$F$2:$F$521))/VLOOKUP(A73,Operations!$A$3:$F$132,6,FALSE),0)</f>
        <v>#DIV/0!</v>
      </c>
      <c r="H73" s="28" t="e">
        <f t="shared" si="1"/>
        <v>#DIV/0!</v>
      </c>
    </row>
    <row r="74" spans="1:8" x14ac:dyDescent="0.3">
      <c r="A74" s="8" t="s">
        <v>80</v>
      </c>
      <c r="B74" s="8">
        <f>VLOOKUP(A74,Operations!$A$3:$B$132,2,TRUE)</f>
        <v>0</v>
      </c>
      <c r="C74" s="8">
        <f>VLOOKUP(A74,Operations!$A$3:$C$132,3,0)</f>
        <v>0</v>
      </c>
      <c r="D74" s="2" t="s">
        <v>149</v>
      </c>
      <c r="E74" s="2">
        <f>IFERROR(INDEX(Operations!$H$3:$K$132,MATCH(A74,Operations!$A$3:$A$132,0),MATCH(Link!D74,Operations!$H$2:$K$2,0)),"")</f>
        <v>0</v>
      </c>
      <c r="F74" t="b">
        <f>IF(E74&lt;&gt;0,IFERROR(VLOOKUP(A74,Operations!$A$3:$F$132,6,FALSE)*INDEX(Operations!$L$3:$O$132,MATCH(Link!A74,Operations!$A$3:$A$132,0),MATCH(Link!D74,Operations!$L$2:$O$2,0)),0))</f>
        <v>0</v>
      </c>
      <c r="G74" s="29" t="e">
        <f>ROUND((3600*F74/SUMIF($E$2:$E$521,E74,$F$2:$F$521))/VLOOKUP(A74,Operations!$A$3:$F$132,6,FALSE),0)</f>
        <v>#DIV/0!</v>
      </c>
      <c r="H74" s="28" t="e">
        <f t="shared" si="1"/>
        <v>#DIV/0!</v>
      </c>
    </row>
    <row r="75" spans="1:8" x14ac:dyDescent="0.3">
      <c r="A75" s="8" t="s">
        <v>81</v>
      </c>
      <c r="B75" s="8">
        <f>VLOOKUP(A75,Operations!$A$3:$B$132,2,TRUE)</f>
        <v>0</v>
      </c>
      <c r="C75" s="8">
        <f>VLOOKUP(A75,Operations!$A$3:$C$132,3,0)</f>
        <v>0</v>
      </c>
      <c r="D75" s="2" t="s">
        <v>149</v>
      </c>
      <c r="E75" s="2">
        <f>IFERROR(INDEX(Operations!$H$3:$K$132,MATCH(A75,Operations!$A$3:$A$132,0),MATCH(Link!D75,Operations!$H$2:$K$2,0)),"")</f>
        <v>0</v>
      </c>
      <c r="F75" t="b">
        <f>IF(E75&lt;&gt;0,IFERROR(VLOOKUP(A75,Operations!$A$3:$F$132,6,FALSE)*INDEX(Operations!$L$3:$O$132,MATCH(Link!A75,Operations!$A$3:$A$132,0),MATCH(Link!D75,Operations!$L$2:$O$2,0)),0))</f>
        <v>0</v>
      </c>
      <c r="G75" s="29" t="e">
        <f>ROUND((3600*F75/SUMIF($E$2:$E$521,E75,$F$2:$F$521))/VLOOKUP(A75,Operations!$A$3:$F$132,6,FALSE),0)</f>
        <v>#DIV/0!</v>
      </c>
      <c r="H75" s="28" t="e">
        <f t="shared" si="1"/>
        <v>#DIV/0!</v>
      </c>
    </row>
    <row r="76" spans="1:8" x14ac:dyDescent="0.3">
      <c r="A76" s="8" t="s">
        <v>82</v>
      </c>
      <c r="B76" s="8">
        <f>VLOOKUP(A76,Operations!$A$3:$B$132,2,TRUE)</f>
        <v>0</v>
      </c>
      <c r="C76" s="8">
        <f>VLOOKUP(A76,Operations!$A$3:$C$132,3,0)</f>
        <v>0</v>
      </c>
      <c r="D76" s="2" t="s">
        <v>149</v>
      </c>
      <c r="E76" s="2">
        <f>IFERROR(INDEX(Operations!$H$3:$K$132,MATCH(A76,Operations!$A$3:$A$132,0),MATCH(Link!D76,Operations!$H$2:$K$2,0)),"")</f>
        <v>0</v>
      </c>
      <c r="F76" t="b">
        <f>IF(E76&lt;&gt;0,IFERROR(VLOOKUP(A76,Operations!$A$3:$F$132,6,FALSE)*INDEX(Operations!$L$3:$O$132,MATCH(Link!A76,Operations!$A$3:$A$132,0),MATCH(Link!D76,Operations!$L$2:$O$2,0)),0))</f>
        <v>0</v>
      </c>
      <c r="G76" s="29" t="e">
        <f>ROUND((3600*F76/SUMIF($E$2:$E$521,E76,$F$2:$F$521))/VLOOKUP(A76,Operations!$A$3:$F$132,6,FALSE),0)</f>
        <v>#DIV/0!</v>
      </c>
      <c r="H76" s="28" t="e">
        <f t="shared" si="1"/>
        <v>#DIV/0!</v>
      </c>
    </row>
    <row r="77" spans="1:8" x14ac:dyDescent="0.3">
      <c r="A77" s="8" t="s">
        <v>83</v>
      </c>
      <c r="B77" s="8">
        <f>VLOOKUP(A77,Operations!$A$3:$B$132,2,TRUE)</f>
        <v>0</v>
      </c>
      <c r="C77" s="8">
        <f>VLOOKUP(A77,Operations!$A$3:$C$132,3,0)</f>
        <v>0</v>
      </c>
      <c r="D77" s="2" t="s">
        <v>149</v>
      </c>
      <c r="E77" s="2">
        <f>IFERROR(INDEX(Operations!$H$3:$K$132,MATCH(A77,Operations!$A$3:$A$132,0),MATCH(Link!D77,Operations!$H$2:$K$2,0)),"")</f>
        <v>0</v>
      </c>
      <c r="F77" t="b">
        <f>IF(E77&lt;&gt;0,IFERROR(VLOOKUP(A77,Operations!$A$3:$F$132,6,FALSE)*INDEX(Operations!$L$3:$O$132,MATCH(Link!A77,Operations!$A$3:$A$132,0),MATCH(Link!D77,Operations!$L$2:$O$2,0)),0))</f>
        <v>0</v>
      </c>
      <c r="G77" s="29" t="e">
        <f>ROUND((3600*F77/SUMIF($E$2:$E$521,E77,$F$2:$F$521))/VLOOKUP(A77,Operations!$A$3:$F$132,6,FALSE),0)</f>
        <v>#DIV/0!</v>
      </c>
      <c r="H77" s="28" t="e">
        <f t="shared" si="1"/>
        <v>#DIV/0!</v>
      </c>
    </row>
    <row r="78" spans="1:8" x14ac:dyDescent="0.3">
      <c r="A78" s="8" t="s">
        <v>84</v>
      </c>
      <c r="B78" s="8">
        <f>VLOOKUP(A78,Operations!$A$3:$B$132,2,TRUE)</f>
        <v>0</v>
      </c>
      <c r="C78" s="8">
        <f>VLOOKUP(A78,Operations!$A$3:$C$132,3,0)</f>
        <v>0</v>
      </c>
      <c r="D78" s="2" t="s">
        <v>149</v>
      </c>
      <c r="E78" s="2">
        <f>IFERROR(INDEX(Operations!$H$3:$K$132,MATCH(A78,Operations!$A$3:$A$132,0),MATCH(Link!D78,Operations!$H$2:$K$2,0)),"")</f>
        <v>0</v>
      </c>
      <c r="F78" t="b">
        <f>IF(E78&lt;&gt;0,IFERROR(VLOOKUP(A78,Operations!$A$3:$F$132,6,FALSE)*INDEX(Operations!$L$3:$O$132,MATCH(Link!A78,Operations!$A$3:$A$132,0),MATCH(Link!D78,Operations!$L$2:$O$2,0)),0))</f>
        <v>0</v>
      </c>
      <c r="G78" s="29" t="e">
        <f>ROUND((3600*F78/SUMIF($E$2:$E$521,E78,$F$2:$F$521))/VLOOKUP(A78,Operations!$A$3:$F$132,6,FALSE),0)</f>
        <v>#DIV/0!</v>
      </c>
      <c r="H78" s="28" t="e">
        <f t="shared" si="1"/>
        <v>#DIV/0!</v>
      </c>
    </row>
    <row r="79" spans="1:8" x14ac:dyDescent="0.3">
      <c r="A79" s="8" t="s">
        <v>85</v>
      </c>
      <c r="B79" s="8">
        <f>VLOOKUP(A79,Operations!$A$3:$B$132,2,TRUE)</f>
        <v>0</v>
      </c>
      <c r="C79" s="8">
        <f>VLOOKUP(A79,Operations!$A$3:$C$132,3,0)</f>
        <v>0</v>
      </c>
      <c r="D79" s="2" t="s">
        <v>149</v>
      </c>
      <c r="E79" s="2">
        <f>IFERROR(INDEX(Operations!$H$3:$K$132,MATCH(A79,Operations!$A$3:$A$132,0),MATCH(Link!D79,Operations!$H$2:$K$2,0)),"")</f>
        <v>0</v>
      </c>
      <c r="F79" t="b">
        <f>IF(E79&lt;&gt;0,IFERROR(VLOOKUP(A79,Operations!$A$3:$F$132,6,FALSE)*INDEX(Operations!$L$3:$O$132,MATCH(Link!A79,Operations!$A$3:$A$132,0),MATCH(Link!D79,Operations!$L$2:$O$2,0)),0))</f>
        <v>0</v>
      </c>
      <c r="G79" s="29" t="e">
        <f>ROUND((3600*F79/SUMIF($E$2:$E$521,E79,$F$2:$F$521))/VLOOKUP(A79,Operations!$A$3:$F$132,6,FALSE),0)</f>
        <v>#DIV/0!</v>
      </c>
      <c r="H79" s="28" t="e">
        <f t="shared" si="1"/>
        <v>#DIV/0!</v>
      </c>
    </row>
    <row r="80" spans="1:8" x14ac:dyDescent="0.3">
      <c r="A80" s="8" t="s">
        <v>86</v>
      </c>
      <c r="B80" s="8">
        <f>VLOOKUP(A80,Operations!$A$3:$B$132,2,TRUE)</f>
        <v>0</v>
      </c>
      <c r="C80" s="8">
        <f>VLOOKUP(A80,Operations!$A$3:$C$132,3,0)</f>
        <v>0</v>
      </c>
      <c r="D80" s="2" t="s">
        <v>149</v>
      </c>
      <c r="E80" s="2">
        <f>IFERROR(INDEX(Operations!$H$3:$K$132,MATCH(A80,Operations!$A$3:$A$132,0),MATCH(Link!D80,Operations!$H$2:$K$2,0)),"")</f>
        <v>0</v>
      </c>
      <c r="F80" t="b">
        <f>IF(E80&lt;&gt;0,IFERROR(VLOOKUP(A80,Operations!$A$3:$F$132,6,FALSE)*INDEX(Operations!$L$3:$O$132,MATCH(Link!A80,Operations!$A$3:$A$132,0),MATCH(Link!D80,Operations!$L$2:$O$2,0)),0))</f>
        <v>0</v>
      </c>
      <c r="G80" s="29" t="e">
        <f>ROUND((3600*F80/SUMIF($E$2:$E$521,E80,$F$2:$F$521))/VLOOKUP(A80,Operations!$A$3:$F$132,6,FALSE),0)</f>
        <v>#DIV/0!</v>
      </c>
      <c r="H80" s="28" t="e">
        <f t="shared" si="1"/>
        <v>#DIV/0!</v>
      </c>
    </row>
    <row r="81" spans="1:8" x14ac:dyDescent="0.3">
      <c r="A81" s="8" t="s">
        <v>87</v>
      </c>
      <c r="B81" s="8">
        <f>VLOOKUP(A81,Operations!$A$3:$B$132,2,TRUE)</f>
        <v>0</v>
      </c>
      <c r="C81" s="8">
        <f>VLOOKUP(A81,Operations!$A$3:$C$132,3,0)</f>
        <v>0</v>
      </c>
      <c r="D81" s="2" t="s">
        <v>149</v>
      </c>
      <c r="E81" s="2">
        <f>IFERROR(INDEX(Operations!$H$3:$K$132,MATCH(A81,Operations!$A$3:$A$132,0),MATCH(Link!D81,Operations!$H$2:$K$2,0)),"")</f>
        <v>0</v>
      </c>
      <c r="F81" t="b">
        <f>IF(E81&lt;&gt;0,IFERROR(VLOOKUP(A81,Operations!$A$3:$F$132,6,FALSE)*INDEX(Operations!$L$3:$O$132,MATCH(Link!A81,Operations!$A$3:$A$132,0),MATCH(Link!D81,Operations!$L$2:$O$2,0)),0))</f>
        <v>0</v>
      </c>
      <c r="G81" s="29" t="e">
        <f>ROUND((3600*F81/SUMIF($E$2:$E$521,E81,$F$2:$F$521))/VLOOKUP(A81,Operations!$A$3:$F$132,6,FALSE),0)</f>
        <v>#DIV/0!</v>
      </c>
      <c r="H81" s="28" t="e">
        <f t="shared" si="1"/>
        <v>#DIV/0!</v>
      </c>
    </row>
    <row r="82" spans="1:8" x14ac:dyDescent="0.3">
      <c r="A82" s="8" t="s">
        <v>88</v>
      </c>
      <c r="B82" s="8">
        <f>VLOOKUP(A82,Operations!$A$3:$B$132,2,TRUE)</f>
        <v>0</v>
      </c>
      <c r="C82" s="8">
        <f>VLOOKUP(A82,Operations!$A$3:$C$132,3,0)</f>
        <v>0</v>
      </c>
      <c r="D82" s="2" t="s">
        <v>149</v>
      </c>
      <c r="E82" s="2">
        <f>IFERROR(INDEX(Operations!$H$3:$K$132,MATCH(A82,Operations!$A$3:$A$132,0),MATCH(Link!D82,Operations!$H$2:$K$2,0)),"")</f>
        <v>0</v>
      </c>
      <c r="F82" t="b">
        <f>IF(E82&lt;&gt;0,IFERROR(VLOOKUP(A82,Operations!$A$3:$F$132,6,FALSE)*INDEX(Operations!$L$3:$O$132,MATCH(Link!A82,Operations!$A$3:$A$132,0),MATCH(Link!D82,Operations!$L$2:$O$2,0)),0))</f>
        <v>0</v>
      </c>
      <c r="G82" s="29" t="e">
        <f>ROUND((3600*F82/SUMIF($E$2:$E$521,E82,$F$2:$F$521))/VLOOKUP(A82,Operations!$A$3:$F$132,6,FALSE),0)</f>
        <v>#DIV/0!</v>
      </c>
      <c r="H82" s="28" t="e">
        <f t="shared" si="1"/>
        <v>#DIV/0!</v>
      </c>
    </row>
    <row r="83" spans="1:8" x14ac:dyDescent="0.3">
      <c r="A83" s="8" t="s">
        <v>89</v>
      </c>
      <c r="B83" s="8">
        <f>VLOOKUP(A83,Operations!$A$3:$B$132,2,TRUE)</f>
        <v>0</v>
      </c>
      <c r="C83" s="8">
        <f>VLOOKUP(A83,Operations!$A$3:$C$132,3,0)</f>
        <v>0</v>
      </c>
      <c r="D83" s="2" t="s">
        <v>149</v>
      </c>
      <c r="E83" s="2">
        <f>IFERROR(INDEX(Operations!$H$3:$K$132,MATCH(A83,Operations!$A$3:$A$132,0),MATCH(Link!D83,Operations!$H$2:$K$2,0)),"")</f>
        <v>0</v>
      </c>
      <c r="F83" t="b">
        <f>IF(E83&lt;&gt;0,IFERROR(VLOOKUP(A83,Operations!$A$3:$F$132,6,FALSE)*INDEX(Operations!$L$3:$O$132,MATCH(Link!A83,Operations!$A$3:$A$132,0),MATCH(Link!D83,Operations!$L$2:$O$2,0)),0))</f>
        <v>0</v>
      </c>
      <c r="G83" s="29" t="e">
        <f>ROUND((3600*F83/SUMIF($E$2:$E$521,E83,$F$2:$F$521))/VLOOKUP(A83,Operations!$A$3:$F$132,6,FALSE),0)</f>
        <v>#DIV/0!</v>
      </c>
      <c r="H83" s="28" t="e">
        <f t="shared" si="1"/>
        <v>#DIV/0!</v>
      </c>
    </row>
    <row r="84" spans="1:8" x14ac:dyDescent="0.3">
      <c r="A84" s="8" t="s">
        <v>90</v>
      </c>
      <c r="B84" s="8">
        <f>VLOOKUP(A84,Operations!$A$3:$B$132,2,TRUE)</f>
        <v>0</v>
      </c>
      <c r="C84" s="8">
        <f>VLOOKUP(A84,Operations!$A$3:$C$132,3,0)</f>
        <v>0</v>
      </c>
      <c r="D84" s="2" t="s">
        <v>149</v>
      </c>
      <c r="E84" s="2">
        <f>IFERROR(INDEX(Operations!$H$3:$K$132,MATCH(A84,Operations!$A$3:$A$132,0),MATCH(Link!D84,Operations!$H$2:$K$2,0)),"")</f>
        <v>0</v>
      </c>
      <c r="F84" t="b">
        <f>IF(E84&lt;&gt;0,IFERROR(VLOOKUP(A84,Operations!$A$3:$F$132,6,FALSE)*INDEX(Operations!$L$3:$O$132,MATCH(Link!A84,Operations!$A$3:$A$132,0),MATCH(Link!D84,Operations!$L$2:$O$2,0)),0))</f>
        <v>0</v>
      </c>
      <c r="G84" s="29" t="e">
        <f>ROUND((3600*F84/SUMIF($E$2:$E$521,E84,$F$2:$F$521))/VLOOKUP(A84,Operations!$A$3:$F$132,6,FALSE),0)</f>
        <v>#DIV/0!</v>
      </c>
      <c r="H84" s="28" t="e">
        <f t="shared" si="1"/>
        <v>#DIV/0!</v>
      </c>
    </row>
    <row r="85" spans="1:8" x14ac:dyDescent="0.3">
      <c r="A85" s="8" t="s">
        <v>91</v>
      </c>
      <c r="B85" s="8">
        <f>VLOOKUP(A85,Operations!$A$3:$B$132,2,TRUE)</f>
        <v>0</v>
      </c>
      <c r="C85" s="8">
        <f>VLOOKUP(A85,Operations!$A$3:$C$132,3,0)</f>
        <v>0</v>
      </c>
      <c r="D85" s="2" t="s">
        <v>149</v>
      </c>
      <c r="E85" s="2">
        <f>IFERROR(INDEX(Operations!$H$3:$K$132,MATCH(A85,Operations!$A$3:$A$132,0),MATCH(Link!D85,Operations!$H$2:$K$2,0)),"")</f>
        <v>0</v>
      </c>
      <c r="F85" t="b">
        <f>IF(E85&lt;&gt;0,IFERROR(VLOOKUP(A85,Operations!$A$3:$F$132,6,FALSE)*INDEX(Operations!$L$3:$O$132,MATCH(Link!A85,Operations!$A$3:$A$132,0),MATCH(Link!D85,Operations!$L$2:$O$2,0)),0))</f>
        <v>0</v>
      </c>
      <c r="G85" s="29" t="e">
        <f>ROUND((3600*F85/SUMIF($E$2:$E$521,E85,$F$2:$F$521))/VLOOKUP(A85,Operations!$A$3:$F$132,6,FALSE),0)</f>
        <v>#DIV/0!</v>
      </c>
      <c r="H85" s="28" t="e">
        <f t="shared" si="1"/>
        <v>#DIV/0!</v>
      </c>
    </row>
    <row r="86" spans="1:8" x14ac:dyDescent="0.3">
      <c r="A86" s="8" t="s">
        <v>92</v>
      </c>
      <c r="B86" s="8">
        <f>VLOOKUP(A86,Operations!$A$3:$B$132,2,TRUE)</f>
        <v>0</v>
      </c>
      <c r="C86" s="8">
        <f>VLOOKUP(A86,Operations!$A$3:$C$132,3,0)</f>
        <v>0</v>
      </c>
      <c r="D86" s="2" t="s">
        <v>149</v>
      </c>
      <c r="E86" s="2">
        <f>IFERROR(INDEX(Operations!$H$3:$K$132,MATCH(A86,Operations!$A$3:$A$132,0),MATCH(Link!D86,Operations!$H$2:$K$2,0)),"")</f>
        <v>0</v>
      </c>
      <c r="F86" t="b">
        <f>IF(E86&lt;&gt;0,IFERROR(VLOOKUP(A86,Operations!$A$3:$F$132,6,FALSE)*INDEX(Operations!$L$3:$O$132,MATCH(Link!A86,Operations!$A$3:$A$132,0),MATCH(Link!D86,Operations!$L$2:$O$2,0)),0))</f>
        <v>0</v>
      </c>
      <c r="G86" s="29" t="e">
        <f>ROUND((3600*F86/SUMIF($E$2:$E$521,E86,$F$2:$F$521))/VLOOKUP(A86,Operations!$A$3:$F$132,6,FALSE),0)</f>
        <v>#DIV/0!</v>
      </c>
      <c r="H86" s="28" t="e">
        <f t="shared" si="1"/>
        <v>#DIV/0!</v>
      </c>
    </row>
    <row r="87" spans="1:8" x14ac:dyDescent="0.3">
      <c r="A87" s="8" t="s">
        <v>93</v>
      </c>
      <c r="B87" s="8">
        <f>VLOOKUP(A87,Operations!$A$3:$B$132,2,TRUE)</f>
        <v>0</v>
      </c>
      <c r="C87" s="8">
        <f>VLOOKUP(A87,Operations!$A$3:$C$132,3,0)</f>
        <v>0</v>
      </c>
      <c r="D87" s="2" t="s">
        <v>149</v>
      </c>
      <c r="E87" s="2">
        <f>IFERROR(INDEX(Operations!$H$3:$K$132,MATCH(A87,Operations!$A$3:$A$132,0),MATCH(Link!D87,Operations!$H$2:$K$2,0)),"")</f>
        <v>0</v>
      </c>
      <c r="F87" t="b">
        <f>IF(E87&lt;&gt;0,IFERROR(VLOOKUP(A87,Operations!$A$3:$F$132,6,FALSE)*INDEX(Operations!$L$3:$O$132,MATCH(Link!A87,Operations!$A$3:$A$132,0),MATCH(Link!D87,Operations!$L$2:$O$2,0)),0))</f>
        <v>0</v>
      </c>
      <c r="G87" s="29" t="e">
        <f>ROUND((3600*F87/SUMIF($E$2:$E$521,E87,$F$2:$F$521))/VLOOKUP(A87,Operations!$A$3:$F$132,6,FALSE),0)</f>
        <v>#DIV/0!</v>
      </c>
      <c r="H87" s="28" t="e">
        <f t="shared" si="1"/>
        <v>#DIV/0!</v>
      </c>
    </row>
    <row r="88" spans="1:8" x14ac:dyDescent="0.3">
      <c r="A88" s="8" t="s">
        <v>94</v>
      </c>
      <c r="B88" s="8">
        <f>VLOOKUP(A88,Operations!$A$3:$B$132,2,TRUE)</f>
        <v>0</v>
      </c>
      <c r="C88" s="8">
        <f>VLOOKUP(A88,Operations!$A$3:$C$132,3,0)</f>
        <v>0</v>
      </c>
      <c r="D88" s="2" t="s">
        <v>149</v>
      </c>
      <c r="E88" s="2">
        <f>IFERROR(INDEX(Operations!$H$3:$K$132,MATCH(A88,Operations!$A$3:$A$132,0),MATCH(Link!D88,Operations!$H$2:$K$2,0)),"")</f>
        <v>0</v>
      </c>
      <c r="F88" t="b">
        <f>IF(E88&lt;&gt;0,IFERROR(VLOOKUP(A88,Operations!$A$3:$F$132,6,FALSE)*INDEX(Operations!$L$3:$O$132,MATCH(Link!A88,Operations!$A$3:$A$132,0),MATCH(Link!D88,Operations!$L$2:$O$2,0)),0))</f>
        <v>0</v>
      </c>
      <c r="G88" s="29" t="e">
        <f>ROUND((3600*F88/SUMIF($E$2:$E$521,E88,$F$2:$F$521))/VLOOKUP(A88,Operations!$A$3:$F$132,6,FALSE),0)</f>
        <v>#DIV/0!</v>
      </c>
      <c r="H88" s="28" t="e">
        <f t="shared" si="1"/>
        <v>#DIV/0!</v>
      </c>
    </row>
    <row r="89" spans="1:8" x14ac:dyDescent="0.3">
      <c r="A89" s="8" t="s">
        <v>95</v>
      </c>
      <c r="B89" s="8">
        <f>VLOOKUP(A89,Operations!$A$3:$B$132,2,TRUE)</f>
        <v>0</v>
      </c>
      <c r="C89" s="8">
        <f>VLOOKUP(A89,Operations!$A$3:$C$132,3,0)</f>
        <v>0</v>
      </c>
      <c r="D89" s="2" t="s">
        <v>149</v>
      </c>
      <c r="E89" s="2">
        <f>IFERROR(INDEX(Operations!$H$3:$K$132,MATCH(A89,Operations!$A$3:$A$132,0),MATCH(Link!D89,Operations!$H$2:$K$2,0)),"")</f>
        <v>0</v>
      </c>
      <c r="F89" t="b">
        <f>IF(E89&lt;&gt;0,IFERROR(VLOOKUP(A89,Operations!$A$3:$F$132,6,FALSE)*INDEX(Operations!$L$3:$O$132,MATCH(Link!A89,Operations!$A$3:$A$132,0),MATCH(Link!D89,Operations!$L$2:$O$2,0)),0))</f>
        <v>0</v>
      </c>
      <c r="G89" s="29" t="e">
        <f>ROUND((3600*F89/SUMIF($E$2:$E$521,E89,$F$2:$F$521))/VLOOKUP(A89,Operations!$A$3:$F$132,6,FALSE),0)</f>
        <v>#DIV/0!</v>
      </c>
      <c r="H89" s="28" t="e">
        <f t="shared" si="1"/>
        <v>#DIV/0!</v>
      </c>
    </row>
    <row r="90" spans="1:8" x14ac:dyDescent="0.3">
      <c r="A90" s="8" t="s">
        <v>96</v>
      </c>
      <c r="B90" s="8">
        <f>VLOOKUP(A90,Operations!$A$3:$B$132,2,TRUE)</f>
        <v>0</v>
      </c>
      <c r="C90" s="8">
        <f>VLOOKUP(A90,Operations!$A$3:$C$132,3,0)</f>
        <v>0</v>
      </c>
      <c r="D90" s="2" t="s">
        <v>149</v>
      </c>
      <c r="E90" s="2">
        <f>IFERROR(INDEX(Operations!$H$3:$K$132,MATCH(A90,Operations!$A$3:$A$132,0),MATCH(Link!D90,Operations!$H$2:$K$2,0)),"")</f>
        <v>0</v>
      </c>
      <c r="F90" t="b">
        <f>IF(E90&lt;&gt;0,IFERROR(VLOOKUP(A90,Operations!$A$3:$F$132,6,FALSE)*INDEX(Operations!$L$3:$O$132,MATCH(Link!A90,Operations!$A$3:$A$132,0),MATCH(Link!D90,Operations!$L$2:$O$2,0)),0))</f>
        <v>0</v>
      </c>
      <c r="G90" s="29" t="e">
        <f>ROUND((3600*F90/SUMIF($E$2:$E$521,E90,$F$2:$F$521))/VLOOKUP(A90,Operations!$A$3:$F$132,6,FALSE),0)</f>
        <v>#DIV/0!</v>
      </c>
      <c r="H90" s="28" t="e">
        <f t="shared" si="1"/>
        <v>#DIV/0!</v>
      </c>
    </row>
    <row r="91" spans="1:8" x14ac:dyDescent="0.3">
      <c r="A91" s="8" t="s">
        <v>97</v>
      </c>
      <c r="B91" s="8">
        <f>VLOOKUP(A91,Operations!$A$3:$B$132,2,TRUE)</f>
        <v>0</v>
      </c>
      <c r="C91" s="8">
        <f>VLOOKUP(A91,Operations!$A$3:$C$132,3,0)</f>
        <v>0</v>
      </c>
      <c r="D91" s="2" t="s">
        <v>149</v>
      </c>
      <c r="E91" s="2">
        <f>IFERROR(INDEX(Operations!$H$3:$K$132,MATCH(A91,Operations!$A$3:$A$132,0),MATCH(Link!D91,Operations!$H$2:$K$2,0)),"")</f>
        <v>0</v>
      </c>
      <c r="F91" t="b">
        <f>IF(E91&lt;&gt;0,IFERROR(VLOOKUP(A91,Operations!$A$3:$F$132,6,FALSE)*INDEX(Operations!$L$3:$O$132,MATCH(Link!A91,Operations!$A$3:$A$132,0),MATCH(Link!D91,Operations!$L$2:$O$2,0)),0))</f>
        <v>0</v>
      </c>
      <c r="G91" s="29" t="e">
        <f>ROUND((3600*F91/SUMIF($E$2:$E$521,E91,$F$2:$F$521))/VLOOKUP(A91,Operations!$A$3:$F$132,6,FALSE),0)</f>
        <v>#DIV/0!</v>
      </c>
      <c r="H91" s="28" t="e">
        <f t="shared" si="1"/>
        <v>#DIV/0!</v>
      </c>
    </row>
    <row r="92" spans="1:8" x14ac:dyDescent="0.3">
      <c r="A92" s="8" t="s">
        <v>98</v>
      </c>
      <c r="B92" s="8">
        <f>VLOOKUP(A92,Operations!$A$3:$B$132,2,TRUE)</f>
        <v>0</v>
      </c>
      <c r="C92" s="8">
        <f>VLOOKUP(A92,Operations!$A$3:$C$132,3,0)</f>
        <v>0</v>
      </c>
      <c r="D92" s="2" t="s">
        <v>149</v>
      </c>
      <c r="E92" s="2">
        <f>IFERROR(INDEX(Operations!$H$3:$K$132,MATCH(A92,Operations!$A$3:$A$132,0),MATCH(Link!D92,Operations!$H$2:$K$2,0)),"")</f>
        <v>0</v>
      </c>
      <c r="F92" t="b">
        <f>IF(E92&lt;&gt;0,IFERROR(VLOOKUP(A92,Operations!$A$3:$F$132,6,FALSE)*INDEX(Operations!$L$3:$O$132,MATCH(Link!A92,Operations!$A$3:$A$132,0),MATCH(Link!D92,Operations!$L$2:$O$2,0)),0))</f>
        <v>0</v>
      </c>
      <c r="G92" s="29" t="e">
        <f>ROUND((3600*F92/SUMIF($E$2:$E$521,E92,$F$2:$F$521))/VLOOKUP(A92,Operations!$A$3:$F$132,6,FALSE),0)</f>
        <v>#DIV/0!</v>
      </c>
      <c r="H92" s="28" t="e">
        <f t="shared" si="1"/>
        <v>#DIV/0!</v>
      </c>
    </row>
    <row r="93" spans="1:8" x14ac:dyDescent="0.3">
      <c r="A93" s="8" t="s">
        <v>99</v>
      </c>
      <c r="B93" s="8">
        <f>VLOOKUP(A93,Operations!$A$3:$B$132,2,TRUE)</f>
        <v>0</v>
      </c>
      <c r="C93" s="8">
        <f>VLOOKUP(A93,Operations!$A$3:$C$132,3,0)</f>
        <v>0</v>
      </c>
      <c r="D93" s="2" t="s">
        <v>149</v>
      </c>
      <c r="E93" s="2">
        <f>IFERROR(INDEX(Operations!$H$3:$K$132,MATCH(A93,Operations!$A$3:$A$132,0),MATCH(Link!D93,Operations!$H$2:$K$2,0)),"")</f>
        <v>0</v>
      </c>
      <c r="F93" t="b">
        <f>IF(E93&lt;&gt;0,IFERROR(VLOOKUP(A93,Operations!$A$3:$F$132,6,FALSE)*INDEX(Operations!$L$3:$O$132,MATCH(Link!A93,Operations!$A$3:$A$132,0),MATCH(Link!D93,Operations!$L$2:$O$2,0)),0))</f>
        <v>0</v>
      </c>
      <c r="G93" s="29" t="e">
        <f>ROUND((3600*F93/SUMIF($E$2:$E$521,E93,$F$2:$F$521))/VLOOKUP(A93,Operations!$A$3:$F$132,6,FALSE),0)</f>
        <v>#DIV/0!</v>
      </c>
      <c r="H93" s="28" t="e">
        <f t="shared" si="1"/>
        <v>#DIV/0!</v>
      </c>
    </row>
    <row r="94" spans="1:8" x14ac:dyDescent="0.3">
      <c r="A94" s="8" t="s">
        <v>100</v>
      </c>
      <c r="B94" s="8">
        <f>VLOOKUP(A94,Operations!$A$3:$B$132,2,TRUE)</f>
        <v>0</v>
      </c>
      <c r="C94" s="8">
        <f>VLOOKUP(A94,Operations!$A$3:$C$132,3,0)</f>
        <v>0</v>
      </c>
      <c r="D94" s="2" t="s">
        <v>149</v>
      </c>
      <c r="E94" s="2">
        <f>IFERROR(INDEX(Operations!$H$3:$K$132,MATCH(A94,Operations!$A$3:$A$132,0),MATCH(Link!D94,Operations!$H$2:$K$2,0)),"")</f>
        <v>0</v>
      </c>
      <c r="F94" t="b">
        <f>IF(E94&lt;&gt;0,IFERROR(VLOOKUP(A94,Operations!$A$3:$F$132,6,FALSE)*INDEX(Operations!$L$3:$O$132,MATCH(Link!A94,Operations!$A$3:$A$132,0),MATCH(Link!D94,Operations!$L$2:$O$2,0)),0))</f>
        <v>0</v>
      </c>
      <c r="G94" s="29" t="e">
        <f>ROUND((3600*F94/SUMIF($E$2:$E$521,E94,$F$2:$F$521))/VLOOKUP(A94,Operations!$A$3:$F$132,6,FALSE),0)</f>
        <v>#DIV/0!</v>
      </c>
      <c r="H94" s="28" t="e">
        <f t="shared" si="1"/>
        <v>#DIV/0!</v>
      </c>
    </row>
    <row r="95" spans="1:8" x14ac:dyDescent="0.3">
      <c r="A95" s="8" t="s">
        <v>101</v>
      </c>
      <c r="B95" s="8">
        <f>VLOOKUP(A95,Operations!$A$3:$B$132,2,TRUE)</f>
        <v>0</v>
      </c>
      <c r="C95" s="8">
        <f>VLOOKUP(A95,Operations!$A$3:$C$132,3,0)</f>
        <v>0</v>
      </c>
      <c r="D95" s="2" t="s">
        <v>149</v>
      </c>
      <c r="E95" s="2">
        <f>IFERROR(INDEX(Operations!$H$3:$K$132,MATCH(A95,Operations!$A$3:$A$132,0),MATCH(Link!D95,Operations!$H$2:$K$2,0)),"")</f>
        <v>0</v>
      </c>
      <c r="F95" t="b">
        <f>IF(E95&lt;&gt;0,IFERROR(VLOOKUP(A95,Operations!$A$3:$F$132,6,FALSE)*INDEX(Operations!$L$3:$O$132,MATCH(Link!A95,Operations!$A$3:$A$132,0),MATCH(Link!D95,Operations!$L$2:$O$2,0)),0))</f>
        <v>0</v>
      </c>
      <c r="G95" s="29" t="e">
        <f>ROUND((3600*F95/SUMIF($E$2:$E$521,E95,$F$2:$F$521))/VLOOKUP(A95,Operations!$A$3:$F$132,6,FALSE),0)</f>
        <v>#DIV/0!</v>
      </c>
      <c r="H95" s="28" t="e">
        <f t="shared" si="1"/>
        <v>#DIV/0!</v>
      </c>
    </row>
    <row r="96" spans="1:8" x14ac:dyDescent="0.3">
      <c r="A96" s="8" t="s">
        <v>102</v>
      </c>
      <c r="B96" s="8">
        <f>VLOOKUP(A96,Operations!$A$3:$B$132,2,TRUE)</f>
        <v>0</v>
      </c>
      <c r="C96" s="8">
        <f>VLOOKUP(A96,Operations!$A$3:$C$132,3,0)</f>
        <v>0</v>
      </c>
      <c r="D96" s="2" t="s">
        <v>149</v>
      </c>
      <c r="E96" s="2">
        <f>IFERROR(INDEX(Operations!$H$3:$K$132,MATCH(A96,Operations!$A$3:$A$132,0),MATCH(Link!D96,Operations!$H$2:$K$2,0)),"")</f>
        <v>0</v>
      </c>
      <c r="F96" t="b">
        <f>IF(E96&lt;&gt;0,IFERROR(VLOOKUP(A96,Operations!$A$3:$F$132,6,FALSE)*INDEX(Operations!$L$3:$O$132,MATCH(Link!A96,Operations!$A$3:$A$132,0),MATCH(Link!D96,Operations!$L$2:$O$2,0)),0))</f>
        <v>0</v>
      </c>
      <c r="G96" s="29" t="e">
        <f>ROUND((3600*F96/SUMIF($E$2:$E$521,E96,$F$2:$F$521))/VLOOKUP(A96,Operations!$A$3:$F$132,6,FALSE),0)</f>
        <v>#DIV/0!</v>
      </c>
      <c r="H96" s="28" t="e">
        <f t="shared" si="1"/>
        <v>#DIV/0!</v>
      </c>
    </row>
    <row r="97" spans="1:8" x14ac:dyDescent="0.3">
      <c r="A97" s="8" t="s">
        <v>103</v>
      </c>
      <c r="B97" s="8">
        <f>VLOOKUP(A97,Operations!$A$3:$B$132,2,TRUE)</f>
        <v>0</v>
      </c>
      <c r="C97" s="8">
        <f>VLOOKUP(A97,Operations!$A$3:$C$132,3,0)</f>
        <v>0</v>
      </c>
      <c r="D97" s="2" t="s">
        <v>149</v>
      </c>
      <c r="E97" s="2">
        <f>IFERROR(INDEX(Operations!$H$3:$K$132,MATCH(A97,Operations!$A$3:$A$132,0),MATCH(Link!D97,Operations!$H$2:$K$2,0)),"")</f>
        <v>0</v>
      </c>
      <c r="F97" t="b">
        <f>IF(E97&lt;&gt;0,IFERROR(VLOOKUP(A97,Operations!$A$3:$F$132,6,FALSE)*INDEX(Operations!$L$3:$O$132,MATCH(Link!A97,Operations!$A$3:$A$132,0),MATCH(Link!D97,Operations!$L$2:$O$2,0)),0))</f>
        <v>0</v>
      </c>
      <c r="G97" s="29" t="e">
        <f>ROUND((3600*F97/SUMIF($E$2:$E$521,E97,$F$2:$F$521))/VLOOKUP(A97,Operations!$A$3:$F$132,6,FALSE),0)</f>
        <v>#DIV/0!</v>
      </c>
      <c r="H97" s="28" t="e">
        <f t="shared" si="1"/>
        <v>#DIV/0!</v>
      </c>
    </row>
    <row r="98" spans="1:8" x14ac:dyDescent="0.3">
      <c r="A98" s="8" t="s">
        <v>104</v>
      </c>
      <c r="B98" s="8">
        <f>VLOOKUP(A98,Operations!$A$3:$B$132,2,TRUE)</f>
        <v>0</v>
      </c>
      <c r="C98" s="8">
        <f>VLOOKUP(A98,Operations!$A$3:$C$132,3,0)</f>
        <v>0</v>
      </c>
      <c r="D98" s="2" t="s">
        <v>149</v>
      </c>
      <c r="E98" s="2">
        <f>IFERROR(INDEX(Operations!$H$3:$K$132,MATCH(A98,Operations!$A$3:$A$132,0),MATCH(Link!D98,Operations!$H$2:$K$2,0)),"")</f>
        <v>0</v>
      </c>
      <c r="F98" t="b">
        <f>IF(E98&lt;&gt;0,IFERROR(VLOOKUP(A98,Operations!$A$3:$F$132,6,FALSE)*INDEX(Operations!$L$3:$O$132,MATCH(Link!A98,Operations!$A$3:$A$132,0),MATCH(Link!D98,Operations!$L$2:$O$2,0)),0))</f>
        <v>0</v>
      </c>
      <c r="G98" s="29" t="e">
        <f>ROUND((3600*F98/SUMIF($E$2:$E$521,E98,$F$2:$F$521))/VLOOKUP(A98,Operations!$A$3:$F$132,6,FALSE),0)</f>
        <v>#DIV/0!</v>
      </c>
      <c r="H98" s="28" t="e">
        <f t="shared" si="1"/>
        <v>#DIV/0!</v>
      </c>
    </row>
    <row r="99" spans="1:8" x14ac:dyDescent="0.3">
      <c r="A99" s="8" t="s">
        <v>105</v>
      </c>
      <c r="B99" s="8">
        <f>VLOOKUP(A99,Operations!$A$3:$B$132,2,TRUE)</f>
        <v>0</v>
      </c>
      <c r="C99" s="8">
        <f>VLOOKUP(A99,Operations!$A$3:$C$132,3,0)</f>
        <v>0</v>
      </c>
      <c r="D99" s="2" t="s">
        <v>149</v>
      </c>
      <c r="E99" s="2">
        <f>IFERROR(INDEX(Operations!$H$3:$K$132,MATCH(A99,Operations!$A$3:$A$132,0),MATCH(Link!D99,Operations!$H$2:$K$2,0)),"")</f>
        <v>0</v>
      </c>
      <c r="F99" t="b">
        <f>IF(E99&lt;&gt;0,IFERROR(VLOOKUP(A99,Operations!$A$3:$F$132,6,FALSE)*INDEX(Operations!$L$3:$O$132,MATCH(Link!A99,Operations!$A$3:$A$132,0),MATCH(Link!D99,Operations!$L$2:$O$2,0)),0))</f>
        <v>0</v>
      </c>
      <c r="G99" s="29" t="e">
        <f>ROUND((3600*F99/SUMIF($E$2:$E$521,E99,$F$2:$F$521))/VLOOKUP(A99,Operations!$A$3:$F$132,6,FALSE),0)</f>
        <v>#DIV/0!</v>
      </c>
      <c r="H99" s="28" t="e">
        <f t="shared" si="1"/>
        <v>#DIV/0!</v>
      </c>
    </row>
    <row r="100" spans="1:8" x14ac:dyDescent="0.3">
      <c r="A100" s="8" t="s">
        <v>106</v>
      </c>
      <c r="B100" s="8">
        <f>VLOOKUP(A100,Operations!$A$3:$B$132,2,TRUE)</f>
        <v>0</v>
      </c>
      <c r="C100" s="8">
        <f>VLOOKUP(A100,Operations!$A$3:$C$132,3,0)</f>
        <v>0</v>
      </c>
      <c r="D100" s="2" t="s">
        <v>149</v>
      </c>
      <c r="E100" s="2">
        <f>IFERROR(INDEX(Operations!$H$3:$K$132,MATCH(A100,Operations!$A$3:$A$132,0),MATCH(Link!D100,Operations!$H$2:$K$2,0)),"")</f>
        <v>0</v>
      </c>
      <c r="F100" t="b">
        <f>IF(E100&lt;&gt;0,IFERROR(VLOOKUP(A100,Operations!$A$3:$F$132,6,FALSE)*INDEX(Operations!$L$3:$O$132,MATCH(Link!A100,Operations!$A$3:$A$132,0),MATCH(Link!D100,Operations!$L$2:$O$2,0)),0))</f>
        <v>0</v>
      </c>
      <c r="G100" s="29" t="e">
        <f>ROUND((3600*F100/SUMIF($E$2:$E$521,E100,$F$2:$F$521))/VLOOKUP(A100,Operations!$A$3:$F$132,6,FALSE),0)</f>
        <v>#DIV/0!</v>
      </c>
      <c r="H100" s="28" t="e">
        <f t="shared" si="1"/>
        <v>#DIV/0!</v>
      </c>
    </row>
    <row r="101" spans="1:8" x14ac:dyDescent="0.3">
      <c r="A101" s="8" t="s">
        <v>107</v>
      </c>
      <c r="B101" s="8">
        <f>VLOOKUP(A101,Operations!$A$3:$B$132,2,TRUE)</f>
        <v>7</v>
      </c>
      <c r="C101" s="8">
        <f>VLOOKUP(A101,Operations!$A$3:$C$132,3,0)</f>
        <v>0</v>
      </c>
      <c r="D101" s="2" t="s">
        <v>149</v>
      </c>
      <c r="E101" s="2">
        <f>IFERROR(INDEX(Operations!$H$3:$K$132,MATCH(A101,Operations!$A$3:$A$132,0),MATCH(Link!D101,Operations!$H$2:$K$2,0)),"")</f>
        <v>0</v>
      </c>
      <c r="F101" t="b">
        <f>IF(E101&lt;&gt;0,IFERROR(VLOOKUP(A101,Operations!$A$3:$F$132,6,FALSE)*INDEX(Operations!$L$3:$O$132,MATCH(Link!A101,Operations!$A$3:$A$132,0),MATCH(Link!D101,Operations!$L$2:$O$2,0)),0))</f>
        <v>0</v>
      </c>
      <c r="G101" s="29" t="e">
        <f>ROUND((3600*F101/SUMIF($E$2:$E$521,E101,$F$2:$F$521))/VLOOKUP(A101,Operations!$A$3:$F$132,6,FALSE),0)</f>
        <v>#DIV/0!</v>
      </c>
      <c r="H101" s="28" t="e">
        <f t="shared" si="1"/>
        <v>#DIV/0!</v>
      </c>
    </row>
    <row r="102" spans="1:8" x14ac:dyDescent="0.3">
      <c r="A102" s="8" t="s">
        <v>108</v>
      </c>
      <c r="B102" s="8">
        <f>VLOOKUP(A102,Operations!$A$3:$B$132,2,TRUE)</f>
        <v>7</v>
      </c>
      <c r="C102" s="8">
        <f>VLOOKUP(A102,Operations!$A$3:$C$132,3,0)</f>
        <v>0</v>
      </c>
      <c r="D102" s="2" t="s">
        <v>149</v>
      </c>
      <c r="E102" s="2">
        <f>IFERROR(INDEX(Operations!$H$3:$K$132,MATCH(A102,Operations!$A$3:$A$132,0),MATCH(Link!D102,Operations!$H$2:$K$2,0)),"")</f>
        <v>0</v>
      </c>
      <c r="F102" t="b">
        <f>IF(E102&lt;&gt;0,IFERROR(VLOOKUP(A102,Operations!$A$3:$F$132,6,FALSE)*INDEX(Operations!$L$3:$O$132,MATCH(Link!A102,Operations!$A$3:$A$132,0),MATCH(Link!D102,Operations!$L$2:$O$2,0)),0))</f>
        <v>0</v>
      </c>
      <c r="G102" s="29" t="e">
        <f>ROUND((3600*F102/SUMIF($E$2:$E$521,E102,$F$2:$F$521))/VLOOKUP(A102,Operations!$A$3:$F$132,6,FALSE),0)</f>
        <v>#DIV/0!</v>
      </c>
      <c r="H102" s="28" t="e">
        <f t="shared" si="1"/>
        <v>#DIV/0!</v>
      </c>
    </row>
    <row r="103" spans="1:8" x14ac:dyDescent="0.3">
      <c r="A103" s="8" t="s">
        <v>109</v>
      </c>
      <c r="B103" s="8">
        <f>VLOOKUP(A103,Operations!$A$3:$B$132,2,TRUE)</f>
        <v>7</v>
      </c>
      <c r="C103" s="8">
        <f>VLOOKUP(A103,Operations!$A$3:$C$132,3,0)</f>
        <v>0</v>
      </c>
      <c r="D103" s="2" t="s">
        <v>149</v>
      </c>
      <c r="E103" s="2">
        <f>IFERROR(INDEX(Operations!$H$3:$K$132,MATCH(A103,Operations!$A$3:$A$132,0),MATCH(Link!D103,Operations!$H$2:$K$2,0)),"")</f>
        <v>0</v>
      </c>
      <c r="F103" t="b">
        <f>IF(E103&lt;&gt;0,IFERROR(VLOOKUP(A103,Operations!$A$3:$F$132,6,FALSE)*INDEX(Operations!$L$3:$O$132,MATCH(Link!A103,Operations!$A$3:$A$132,0),MATCH(Link!D103,Operations!$L$2:$O$2,0)),0))</f>
        <v>0</v>
      </c>
      <c r="G103" s="29" t="e">
        <f>ROUND((3600*F103/SUMIF($E$2:$E$521,E103,$F$2:$F$521))/VLOOKUP(A103,Operations!$A$3:$F$132,6,FALSE),0)</f>
        <v>#DIV/0!</v>
      </c>
      <c r="H103" s="28" t="e">
        <f t="shared" si="1"/>
        <v>#DIV/0!</v>
      </c>
    </row>
    <row r="104" spans="1:8" x14ac:dyDescent="0.3">
      <c r="A104" s="8" t="s">
        <v>110</v>
      </c>
      <c r="B104" s="8">
        <f>VLOOKUP(A104,Operations!$A$3:$B$132,2,TRUE)</f>
        <v>7</v>
      </c>
      <c r="C104" s="8">
        <f>VLOOKUP(A104,Operations!$A$3:$C$132,3,0)</f>
        <v>0</v>
      </c>
      <c r="D104" s="2" t="s">
        <v>149</v>
      </c>
      <c r="E104" s="2">
        <f>IFERROR(INDEX(Operations!$H$3:$K$132,MATCH(A104,Operations!$A$3:$A$132,0),MATCH(Link!D104,Operations!$H$2:$K$2,0)),"")</f>
        <v>0</v>
      </c>
      <c r="F104" t="b">
        <f>IF(E104&lt;&gt;0,IFERROR(VLOOKUP(A104,Operations!$A$3:$F$132,6,FALSE)*INDEX(Operations!$L$3:$O$132,MATCH(Link!A104,Operations!$A$3:$A$132,0),MATCH(Link!D104,Operations!$L$2:$O$2,0)),0))</f>
        <v>0</v>
      </c>
      <c r="G104" s="29" t="e">
        <f>ROUND((3600*F104/SUMIF($E$2:$E$521,E104,$F$2:$F$521))/VLOOKUP(A104,Operations!$A$3:$F$132,6,FALSE),0)</f>
        <v>#DIV/0!</v>
      </c>
      <c r="H104" s="28" t="e">
        <f t="shared" si="1"/>
        <v>#DIV/0!</v>
      </c>
    </row>
    <row r="105" spans="1:8" x14ac:dyDescent="0.3">
      <c r="A105" s="8" t="s">
        <v>111</v>
      </c>
      <c r="B105" s="8">
        <f>VLOOKUP(A105,Operations!$A$3:$B$132,2,TRUE)</f>
        <v>7</v>
      </c>
      <c r="C105" s="8">
        <f>VLOOKUP(A105,Operations!$A$3:$C$132,3,0)</f>
        <v>0</v>
      </c>
      <c r="D105" s="2" t="s">
        <v>149</v>
      </c>
      <c r="E105" s="2">
        <f>IFERROR(INDEX(Operations!$H$3:$K$132,MATCH(A105,Operations!$A$3:$A$132,0),MATCH(Link!D105,Operations!$H$2:$K$2,0)),"")</f>
        <v>0</v>
      </c>
      <c r="F105" t="b">
        <f>IF(E105&lt;&gt;0,IFERROR(VLOOKUP(A105,Operations!$A$3:$F$132,6,FALSE)*INDEX(Operations!$L$3:$O$132,MATCH(Link!A105,Operations!$A$3:$A$132,0),MATCH(Link!D105,Operations!$L$2:$O$2,0)),0))</f>
        <v>0</v>
      </c>
      <c r="G105" s="29" t="e">
        <f>ROUND((3600*F105/SUMIF($E$2:$E$521,E105,$F$2:$F$521))/VLOOKUP(A105,Operations!$A$3:$F$132,6,FALSE),0)</f>
        <v>#DIV/0!</v>
      </c>
      <c r="H105" s="28" t="e">
        <f t="shared" si="1"/>
        <v>#DIV/0!</v>
      </c>
    </row>
    <row r="106" spans="1:8" x14ac:dyDescent="0.3">
      <c r="A106" s="8" t="s">
        <v>112</v>
      </c>
      <c r="B106" s="8">
        <f>VLOOKUP(A106,Operations!$A$3:$B$132,2,TRUE)</f>
        <v>7</v>
      </c>
      <c r="C106" s="8">
        <f>VLOOKUP(A106,Operations!$A$3:$C$132,3,0)</f>
        <v>0</v>
      </c>
      <c r="D106" s="2" t="s">
        <v>149</v>
      </c>
      <c r="E106" s="2">
        <f>IFERROR(INDEX(Operations!$H$3:$K$132,MATCH(A106,Operations!$A$3:$A$132,0),MATCH(Link!D106,Operations!$H$2:$K$2,0)),"")</f>
        <v>0</v>
      </c>
      <c r="F106" t="b">
        <f>IF(E106&lt;&gt;0,IFERROR(VLOOKUP(A106,Operations!$A$3:$F$132,6,FALSE)*INDEX(Operations!$L$3:$O$132,MATCH(Link!A106,Operations!$A$3:$A$132,0),MATCH(Link!D106,Operations!$L$2:$O$2,0)),0))</f>
        <v>0</v>
      </c>
      <c r="G106" s="29" t="e">
        <f>ROUND((3600*F106/SUMIF($E$2:$E$521,E106,$F$2:$F$521))/VLOOKUP(A106,Operations!$A$3:$F$132,6,FALSE),0)</f>
        <v>#DIV/0!</v>
      </c>
      <c r="H106" s="28" t="e">
        <f t="shared" si="1"/>
        <v>#DIV/0!</v>
      </c>
    </row>
    <row r="107" spans="1:8" x14ac:dyDescent="0.3">
      <c r="A107" s="8" t="s">
        <v>113</v>
      </c>
      <c r="B107" s="8">
        <f>VLOOKUP(A107,Operations!$A$3:$B$132,2,TRUE)</f>
        <v>7</v>
      </c>
      <c r="C107" s="8">
        <f>VLOOKUP(A107,Operations!$A$3:$C$132,3,0)</f>
        <v>0</v>
      </c>
      <c r="D107" s="2" t="s">
        <v>149</v>
      </c>
      <c r="E107" s="2">
        <f>IFERROR(INDEX(Operations!$H$3:$K$132,MATCH(A107,Operations!$A$3:$A$132,0),MATCH(Link!D107,Operations!$H$2:$K$2,0)),"")</f>
        <v>0</v>
      </c>
      <c r="F107" t="b">
        <f>IF(E107&lt;&gt;0,IFERROR(VLOOKUP(A107,Operations!$A$3:$F$132,6,FALSE)*INDEX(Operations!$L$3:$O$132,MATCH(Link!A107,Operations!$A$3:$A$132,0),MATCH(Link!D107,Operations!$L$2:$O$2,0)),0))</f>
        <v>0</v>
      </c>
      <c r="G107" s="29" t="e">
        <f>ROUND((3600*F107/SUMIF($E$2:$E$521,E107,$F$2:$F$521))/VLOOKUP(A107,Operations!$A$3:$F$132,6,FALSE),0)</f>
        <v>#DIV/0!</v>
      </c>
      <c r="H107" s="28" t="e">
        <f t="shared" si="1"/>
        <v>#DIV/0!</v>
      </c>
    </row>
    <row r="108" spans="1:8" x14ac:dyDescent="0.3">
      <c r="A108" s="8" t="s">
        <v>114</v>
      </c>
      <c r="B108" s="8">
        <f>VLOOKUP(A108,Operations!$A$3:$B$132,2,TRUE)</f>
        <v>7</v>
      </c>
      <c r="C108" s="8">
        <f>VLOOKUP(A108,Operations!$A$3:$C$132,3,0)</f>
        <v>0</v>
      </c>
      <c r="D108" s="2" t="s">
        <v>149</v>
      </c>
      <c r="E108" s="2">
        <f>IFERROR(INDEX(Operations!$H$3:$K$132,MATCH(A108,Operations!$A$3:$A$132,0),MATCH(Link!D108,Operations!$H$2:$K$2,0)),"")</f>
        <v>0</v>
      </c>
      <c r="F108" t="b">
        <f>IF(E108&lt;&gt;0,IFERROR(VLOOKUP(A108,Operations!$A$3:$F$132,6,FALSE)*INDEX(Operations!$L$3:$O$132,MATCH(Link!A108,Operations!$A$3:$A$132,0),MATCH(Link!D108,Operations!$L$2:$O$2,0)),0))</f>
        <v>0</v>
      </c>
      <c r="G108" s="29" t="e">
        <f>ROUND((3600*F108/SUMIF($E$2:$E$521,E108,$F$2:$F$521))/VLOOKUP(A108,Operations!$A$3:$F$132,6,FALSE),0)</f>
        <v>#DIV/0!</v>
      </c>
      <c r="H108" s="28" t="e">
        <f t="shared" si="1"/>
        <v>#DIV/0!</v>
      </c>
    </row>
    <row r="109" spans="1:8" x14ac:dyDescent="0.3">
      <c r="A109" s="8" t="s">
        <v>115</v>
      </c>
      <c r="B109" s="8">
        <f>VLOOKUP(A109,Operations!$A$3:$B$132,2,TRUE)</f>
        <v>7</v>
      </c>
      <c r="C109" s="8">
        <f>VLOOKUP(A109,Operations!$A$3:$C$132,3,0)</f>
        <v>0</v>
      </c>
      <c r="D109" s="2" t="s">
        <v>149</v>
      </c>
      <c r="E109" s="2">
        <f>IFERROR(INDEX(Operations!$H$3:$K$132,MATCH(A109,Operations!$A$3:$A$132,0),MATCH(Link!D109,Operations!$H$2:$K$2,0)),"")</f>
        <v>0</v>
      </c>
      <c r="F109" t="b">
        <f>IF(E109&lt;&gt;0,IFERROR(VLOOKUP(A109,Operations!$A$3:$F$132,6,FALSE)*INDEX(Operations!$L$3:$O$132,MATCH(Link!A109,Operations!$A$3:$A$132,0),MATCH(Link!D109,Operations!$L$2:$O$2,0)),0))</f>
        <v>0</v>
      </c>
      <c r="G109" s="29" t="e">
        <f>ROUND((3600*F109/SUMIF($E$2:$E$521,E109,$F$2:$F$521))/VLOOKUP(A109,Operations!$A$3:$F$132,6,FALSE),0)</f>
        <v>#DIV/0!</v>
      </c>
      <c r="H109" s="28" t="e">
        <f t="shared" si="1"/>
        <v>#DIV/0!</v>
      </c>
    </row>
    <row r="110" spans="1:8" x14ac:dyDescent="0.3">
      <c r="A110" s="8" t="s">
        <v>116</v>
      </c>
      <c r="B110" s="8">
        <f>VLOOKUP(A110,Operations!$A$3:$B$132,2,TRUE)</f>
        <v>7</v>
      </c>
      <c r="C110" s="8">
        <f>VLOOKUP(A110,Operations!$A$3:$C$132,3,0)</f>
        <v>0</v>
      </c>
      <c r="D110" s="2" t="s">
        <v>149</v>
      </c>
      <c r="E110" s="2">
        <f>IFERROR(INDEX(Operations!$H$3:$K$132,MATCH(A110,Operations!$A$3:$A$132,0),MATCH(Link!D110,Operations!$H$2:$K$2,0)),"")</f>
        <v>0</v>
      </c>
      <c r="F110" t="b">
        <f>IF(E110&lt;&gt;0,IFERROR(VLOOKUP(A110,Operations!$A$3:$F$132,6,FALSE)*INDEX(Operations!$L$3:$O$132,MATCH(Link!A110,Operations!$A$3:$A$132,0),MATCH(Link!D110,Operations!$L$2:$O$2,0)),0))</f>
        <v>0</v>
      </c>
      <c r="G110" s="29" t="e">
        <f>ROUND((3600*F110/SUMIF($E$2:$E$521,E110,$F$2:$F$521))/VLOOKUP(A110,Operations!$A$3:$F$132,6,FALSE),0)</f>
        <v>#DIV/0!</v>
      </c>
      <c r="H110" s="28" t="e">
        <f t="shared" si="1"/>
        <v>#DIV/0!</v>
      </c>
    </row>
    <row r="111" spans="1:8" x14ac:dyDescent="0.3">
      <c r="A111" s="8" t="s">
        <v>117</v>
      </c>
      <c r="B111" s="8">
        <f>VLOOKUP(A111,Operations!$A$3:$B$132,2,TRUE)</f>
        <v>6</v>
      </c>
      <c r="C111" s="8">
        <f>VLOOKUP(A111,Operations!$A$3:$C$132,3,0)</f>
        <v>0</v>
      </c>
      <c r="D111" s="2" t="s">
        <v>149</v>
      </c>
      <c r="E111" s="2">
        <f>IFERROR(INDEX(Operations!$H$3:$K$132,MATCH(A111,Operations!$A$3:$A$132,0),MATCH(Link!D111,Operations!$H$2:$K$2,0)),"")</f>
        <v>0</v>
      </c>
      <c r="F111" t="b">
        <f>IF(E111&lt;&gt;0,IFERROR(VLOOKUP(A111,Operations!$A$3:$F$132,6,FALSE)*INDEX(Operations!$L$3:$O$132,MATCH(Link!A111,Operations!$A$3:$A$132,0),MATCH(Link!D111,Operations!$L$2:$O$2,0)),0))</f>
        <v>0</v>
      </c>
      <c r="G111" s="29" t="e">
        <f>ROUND((3600*F111/SUMIF($E$2:$E$521,E111,$F$2:$F$521))/VLOOKUP(A111,Operations!$A$3:$F$132,6,FALSE),0)</f>
        <v>#DIV/0!</v>
      </c>
      <c r="H111" s="28" t="e">
        <f t="shared" si="1"/>
        <v>#DIV/0!</v>
      </c>
    </row>
    <row r="112" spans="1:8" x14ac:dyDescent="0.3">
      <c r="A112" s="8" t="s">
        <v>118</v>
      </c>
      <c r="B112" s="8">
        <f>VLOOKUP(A112,Operations!$A$3:$B$132,2,TRUE)</f>
        <v>6</v>
      </c>
      <c r="C112" s="8">
        <f>VLOOKUP(A112,Operations!$A$3:$C$132,3,0)</f>
        <v>0</v>
      </c>
      <c r="D112" s="2" t="s">
        <v>149</v>
      </c>
      <c r="E112" s="2">
        <f>IFERROR(INDEX(Operations!$H$3:$K$132,MATCH(A112,Operations!$A$3:$A$132,0),MATCH(Link!D112,Operations!$H$2:$K$2,0)),"")</f>
        <v>0</v>
      </c>
      <c r="F112" t="b">
        <f>IF(E112&lt;&gt;0,IFERROR(VLOOKUP(A112,Operations!$A$3:$F$132,6,FALSE)*INDEX(Operations!$L$3:$O$132,MATCH(Link!A112,Operations!$A$3:$A$132,0),MATCH(Link!D112,Operations!$L$2:$O$2,0)),0))</f>
        <v>0</v>
      </c>
      <c r="G112" s="29" t="e">
        <f>ROUND((3600*F112/SUMIF($E$2:$E$521,E112,$F$2:$F$521))/VLOOKUP(A112,Operations!$A$3:$F$132,6,FALSE),0)</f>
        <v>#DIV/0!</v>
      </c>
      <c r="H112" s="28" t="e">
        <f t="shared" si="1"/>
        <v>#DIV/0!</v>
      </c>
    </row>
    <row r="113" spans="1:8" x14ac:dyDescent="0.3">
      <c r="A113" s="8" t="s">
        <v>119</v>
      </c>
      <c r="B113" s="8">
        <f>VLOOKUP(A113,Operations!$A$3:$B$132,2,TRUE)</f>
        <v>6</v>
      </c>
      <c r="C113" s="8">
        <f>VLOOKUP(A113,Operations!$A$3:$C$132,3,0)</f>
        <v>0</v>
      </c>
      <c r="D113" s="2" t="s">
        <v>149</v>
      </c>
      <c r="E113" s="2">
        <f>IFERROR(INDEX(Operations!$H$3:$K$132,MATCH(A113,Operations!$A$3:$A$132,0),MATCH(Link!D113,Operations!$H$2:$K$2,0)),"")</f>
        <v>0</v>
      </c>
      <c r="F113" t="b">
        <f>IF(E113&lt;&gt;0,IFERROR(VLOOKUP(A113,Operations!$A$3:$F$132,6,FALSE)*INDEX(Operations!$L$3:$O$132,MATCH(Link!A113,Operations!$A$3:$A$132,0),MATCH(Link!D113,Operations!$L$2:$O$2,0)),0))</f>
        <v>0</v>
      </c>
      <c r="G113" s="29" t="e">
        <f>ROUND((3600*F113/SUMIF($E$2:$E$521,E113,$F$2:$F$521))/VLOOKUP(A113,Operations!$A$3:$F$132,6,FALSE),0)</f>
        <v>#DIV/0!</v>
      </c>
      <c r="H113" s="28" t="e">
        <f t="shared" si="1"/>
        <v>#DIV/0!</v>
      </c>
    </row>
    <row r="114" spans="1:8" x14ac:dyDescent="0.3">
      <c r="A114" s="8" t="s">
        <v>120</v>
      </c>
      <c r="B114" s="8">
        <f>VLOOKUP(A114,Operations!$A$3:$B$132,2,TRUE)</f>
        <v>6</v>
      </c>
      <c r="C114" s="8">
        <f>VLOOKUP(A114,Operations!$A$3:$C$132,3,0)</f>
        <v>0</v>
      </c>
      <c r="D114" s="2" t="s">
        <v>149</v>
      </c>
      <c r="E114" s="2">
        <f>IFERROR(INDEX(Operations!$H$3:$K$132,MATCH(A114,Operations!$A$3:$A$132,0),MATCH(Link!D114,Operations!$H$2:$K$2,0)),"")</f>
        <v>0</v>
      </c>
      <c r="F114" t="b">
        <f>IF(E114&lt;&gt;0,IFERROR(VLOOKUP(A114,Operations!$A$3:$F$132,6,FALSE)*INDEX(Operations!$L$3:$O$132,MATCH(Link!A114,Operations!$A$3:$A$132,0),MATCH(Link!D114,Operations!$L$2:$O$2,0)),0))</f>
        <v>0</v>
      </c>
      <c r="G114" s="29" t="e">
        <f>ROUND((3600*F114/SUMIF($E$2:$E$521,E114,$F$2:$F$521))/VLOOKUP(A114,Operations!$A$3:$F$132,6,FALSE),0)</f>
        <v>#DIV/0!</v>
      </c>
      <c r="H114" s="28" t="e">
        <f t="shared" si="1"/>
        <v>#DIV/0!</v>
      </c>
    </row>
    <row r="115" spans="1:8" x14ac:dyDescent="0.3">
      <c r="A115" s="8" t="s">
        <v>121</v>
      </c>
      <c r="B115" s="8">
        <f>VLOOKUP(A115,Operations!$A$3:$B$132,2,TRUE)</f>
        <v>6</v>
      </c>
      <c r="C115" s="8">
        <f>VLOOKUP(A115,Operations!$A$3:$C$132,3,0)</f>
        <v>0</v>
      </c>
      <c r="D115" s="2" t="s">
        <v>149</v>
      </c>
      <c r="E115" s="2">
        <f>IFERROR(INDEX(Operations!$H$3:$K$132,MATCH(A115,Operations!$A$3:$A$132,0),MATCH(Link!D115,Operations!$H$2:$K$2,0)),"")</f>
        <v>0</v>
      </c>
      <c r="F115" t="b">
        <f>IF(E115&lt;&gt;0,IFERROR(VLOOKUP(A115,Operations!$A$3:$F$132,6,FALSE)*INDEX(Operations!$L$3:$O$132,MATCH(Link!A115,Operations!$A$3:$A$132,0),MATCH(Link!D115,Operations!$L$2:$O$2,0)),0))</f>
        <v>0</v>
      </c>
      <c r="G115" s="29" t="e">
        <f>ROUND((3600*F115/SUMIF($E$2:$E$521,E115,$F$2:$F$521))/VLOOKUP(A115,Operations!$A$3:$F$132,6,FALSE),0)</f>
        <v>#DIV/0!</v>
      </c>
      <c r="H115" s="28" t="e">
        <f t="shared" si="1"/>
        <v>#DIV/0!</v>
      </c>
    </row>
    <row r="116" spans="1:8" x14ac:dyDescent="0.3">
      <c r="A116" s="8" t="s">
        <v>122</v>
      </c>
      <c r="B116" s="8">
        <f>VLOOKUP(A116,Operations!$A$3:$B$132,2,TRUE)</f>
        <v>6</v>
      </c>
      <c r="C116" s="8">
        <f>VLOOKUP(A116,Operations!$A$3:$C$132,3,0)</f>
        <v>0</v>
      </c>
      <c r="D116" s="2" t="s">
        <v>149</v>
      </c>
      <c r="E116" s="2">
        <f>IFERROR(INDEX(Operations!$H$3:$K$132,MATCH(A116,Operations!$A$3:$A$132,0),MATCH(Link!D116,Operations!$H$2:$K$2,0)),"")</f>
        <v>0</v>
      </c>
      <c r="F116" t="b">
        <f>IF(E116&lt;&gt;0,IFERROR(VLOOKUP(A116,Operations!$A$3:$F$132,6,FALSE)*INDEX(Operations!$L$3:$O$132,MATCH(Link!A116,Operations!$A$3:$A$132,0),MATCH(Link!D116,Operations!$L$2:$O$2,0)),0))</f>
        <v>0</v>
      </c>
      <c r="G116" s="29" t="e">
        <f>ROUND((3600*F116/SUMIF($E$2:$E$521,E116,$F$2:$F$521))/VLOOKUP(A116,Operations!$A$3:$F$132,6,FALSE),0)</f>
        <v>#DIV/0!</v>
      </c>
      <c r="H116" s="28" t="e">
        <f t="shared" si="1"/>
        <v>#DIV/0!</v>
      </c>
    </row>
    <row r="117" spans="1:8" x14ac:dyDescent="0.3">
      <c r="A117" s="8" t="s">
        <v>123</v>
      </c>
      <c r="B117" s="8">
        <f>VLOOKUP(A117,Operations!$A$3:$B$132,2,TRUE)</f>
        <v>6</v>
      </c>
      <c r="C117" s="8">
        <f>VLOOKUP(A117,Operations!$A$3:$C$132,3,0)</f>
        <v>0</v>
      </c>
      <c r="D117" s="2" t="s">
        <v>149</v>
      </c>
      <c r="E117" s="2">
        <f>IFERROR(INDEX(Operations!$H$3:$K$132,MATCH(A117,Operations!$A$3:$A$132,0),MATCH(Link!D117,Operations!$H$2:$K$2,0)),"")</f>
        <v>0</v>
      </c>
      <c r="F117" t="b">
        <f>IF(E117&lt;&gt;0,IFERROR(VLOOKUP(A117,Operations!$A$3:$F$132,6,FALSE)*INDEX(Operations!$L$3:$O$132,MATCH(Link!A117,Operations!$A$3:$A$132,0),MATCH(Link!D117,Operations!$L$2:$O$2,0)),0))</f>
        <v>0</v>
      </c>
      <c r="G117" s="29" t="e">
        <f>ROUND((3600*F117/SUMIF($E$2:$E$521,E117,$F$2:$F$521))/VLOOKUP(A117,Operations!$A$3:$F$132,6,FALSE),0)</f>
        <v>#DIV/0!</v>
      </c>
      <c r="H117" s="28" t="e">
        <f t="shared" si="1"/>
        <v>#DIV/0!</v>
      </c>
    </row>
    <row r="118" spans="1:8" x14ac:dyDescent="0.3">
      <c r="A118" s="8" t="s">
        <v>124</v>
      </c>
      <c r="B118" s="8">
        <f>VLOOKUP(A118,Operations!$A$3:$B$132,2,TRUE)</f>
        <v>6</v>
      </c>
      <c r="C118" s="8">
        <f>VLOOKUP(A118,Operations!$A$3:$C$132,3,0)</f>
        <v>0</v>
      </c>
      <c r="D118" s="2" t="s">
        <v>149</v>
      </c>
      <c r="E118" s="2">
        <f>IFERROR(INDEX(Operations!$H$3:$K$132,MATCH(A118,Operations!$A$3:$A$132,0),MATCH(Link!D118,Operations!$H$2:$K$2,0)),"")</f>
        <v>0</v>
      </c>
      <c r="F118" t="b">
        <f>IF(E118&lt;&gt;0,IFERROR(VLOOKUP(A118,Operations!$A$3:$F$132,6,FALSE)*INDEX(Operations!$L$3:$O$132,MATCH(Link!A118,Operations!$A$3:$A$132,0),MATCH(Link!D118,Operations!$L$2:$O$2,0)),0))</f>
        <v>0</v>
      </c>
      <c r="G118" s="29" t="e">
        <f>ROUND((3600*F118/SUMIF($E$2:$E$521,E118,$F$2:$F$521))/VLOOKUP(A118,Operations!$A$3:$F$132,6,FALSE),0)</f>
        <v>#DIV/0!</v>
      </c>
      <c r="H118" s="28" t="e">
        <f t="shared" si="1"/>
        <v>#DIV/0!</v>
      </c>
    </row>
    <row r="119" spans="1:8" x14ac:dyDescent="0.3">
      <c r="A119" s="8" t="s">
        <v>125</v>
      </c>
      <c r="B119" s="8">
        <f>VLOOKUP(A119,Operations!$A$3:$B$132,2,TRUE)</f>
        <v>6</v>
      </c>
      <c r="C119" s="8">
        <f>VLOOKUP(A119,Operations!$A$3:$C$132,3,0)</f>
        <v>0</v>
      </c>
      <c r="D119" s="2" t="s">
        <v>149</v>
      </c>
      <c r="E119" s="2">
        <f>IFERROR(INDEX(Operations!$H$3:$K$132,MATCH(A119,Operations!$A$3:$A$132,0),MATCH(Link!D119,Operations!$H$2:$K$2,0)),"")</f>
        <v>0</v>
      </c>
      <c r="F119" t="b">
        <f>IF(E119&lt;&gt;0,IFERROR(VLOOKUP(A119,Operations!$A$3:$F$132,6,FALSE)*INDEX(Operations!$L$3:$O$132,MATCH(Link!A119,Operations!$A$3:$A$132,0),MATCH(Link!D119,Operations!$L$2:$O$2,0)),0))</f>
        <v>0</v>
      </c>
      <c r="G119" s="29" t="e">
        <f>ROUND((3600*F119/SUMIF($E$2:$E$521,E119,$F$2:$F$521))/VLOOKUP(A119,Operations!$A$3:$F$132,6,FALSE),0)</f>
        <v>#DIV/0!</v>
      </c>
      <c r="H119" s="28" t="e">
        <f t="shared" si="1"/>
        <v>#DIV/0!</v>
      </c>
    </row>
    <row r="120" spans="1:8" x14ac:dyDescent="0.3">
      <c r="A120" s="8" t="s">
        <v>126</v>
      </c>
      <c r="B120" s="8">
        <f>VLOOKUP(A120,Operations!$A$3:$B$132,2,TRUE)</f>
        <v>6</v>
      </c>
      <c r="C120" s="8">
        <f>VLOOKUP(A120,Operations!$A$3:$C$132,3,0)</f>
        <v>0</v>
      </c>
      <c r="D120" s="2" t="s">
        <v>149</v>
      </c>
      <c r="E120" s="2">
        <f>IFERROR(INDEX(Operations!$H$3:$K$132,MATCH(A120,Operations!$A$3:$A$132,0),MATCH(Link!D120,Operations!$H$2:$K$2,0)),"")</f>
        <v>0</v>
      </c>
      <c r="F120" t="b">
        <f>IF(E120&lt;&gt;0,IFERROR(VLOOKUP(A120,Operations!$A$3:$F$132,6,FALSE)*INDEX(Operations!$L$3:$O$132,MATCH(Link!A120,Operations!$A$3:$A$132,0),MATCH(Link!D120,Operations!$L$2:$O$2,0)),0))</f>
        <v>0</v>
      </c>
      <c r="G120" s="29" t="e">
        <f>ROUND((3600*F120/SUMIF($E$2:$E$521,E120,$F$2:$F$521))/VLOOKUP(A120,Operations!$A$3:$F$132,6,FALSE),0)</f>
        <v>#DIV/0!</v>
      </c>
      <c r="H120" s="28" t="e">
        <f t="shared" si="1"/>
        <v>#DIV/0!</v>
      </c>
    </row>
    <row r="121" spans="1:8" x14ac:dyDescent="0.3">
      <c r="A121" s="8" t="s">
        <v>127</v>
      </c>
      <c r="B121" s="8">
        <f>VLOOKUP(A121,Operations!$A$3:$B$132,2,TRUE)</f>
        <v>5</v>
      </c>
      <c r="C121" s="8">
        <f>VLOOKUP(A121,Operations!$A$3:$C$132,3,0)</f>
        <v>0</v>
      </c>
      <c r="D121" s="2" t="s">
        <v>149</v>
      </c>
      <c r="E121" s="2">
        <f>IFERROR(INDEX(Operations!$H$3:$K$132,MATCH(A121,Operations!$A$3:$A$132,0),MATCH(Link!D121,Operations!$H$2:$K$2,0)),"")</f>
        <v>0</v>
      </c>
      <c r="F121" t="b">
        <f>IF(E121&lt;&gt;0,IFERROR(VLOOKUP(A121,Operations!$A$3:$F$132,6,FALSE)*INDEX(Operations!$L$3:$O$132,MATCH(Link!A121,Operations!$A$3:$A$132,0),MATCH(Link!D121,Operations!$L$2:$O$2,0)),0))</f>
        <v>0</v>
      </c>
      <c r="G121" s="29" t="e">
        <f>ROUND((3600*F121/SUMIF($E$2:$E$521,E121,$F$2:$F$521))/VLOOKUP(A121,Operations!$A$3:$F$132,6,FALSE),0)</f>
        <v>#DIV/0!</v>
      </c>
      <c r="H121" s="28" t="e">
        <f t="shared" si="1"/>
        <v>#DIV/0!</v>
      </c>
    </row>
    <row r="122" spans="1:8" x14ac:dyDescent="0.3">
      <c r="A122" s="8" t="s">
        <v>128</v>
      </c>
      <c r="B122" s="8">
        <f>VLOOKUP(A122,Operations!$A$3:$B$132,2,TRUE)</f>
        <v>5</v>
      </c>
      <c r="C122" s="8">
        <f>VLOOKUP(A122,Operations!$A$3:$C$132,3,0)</f>
        <v>0</v>
      </c>
      <c r="D122" s="2" t="s">
        <v>149</v>
      </c>
      <c r="E122" s="2">
        <f>IFERROR(INDEX(Operations!$H$3:$K$132,MATCH(A122,Operations!$A$3:$A$132,0),MATCH(Link!D122,Operations!$H$2:$K$2,0)),"")</f>
        <v>0</v>
      </c>
      <c r="F122" t="b">
        <f>IF(E122&lt;&gt;0,IFERROR(VLOOKUP(A122,Operations!$A$3:$F$132,6,FALSE)*INDEX(Operations!$L$3:$O$132,MATCH(Link!A122,Operations!$A$3:$A$132,0),MATCH(Link!D122,Operations!$L$2:$O$2,0)),0))</f>
        <v>0</v>
      </c>
      <c r="G122" s="29" t="e">
        <f>ROUND((3600*F122/SUMIF($E$2:$E$521,E122,$F$2:$F$521))/VLOOKUP(A122,Operations!$A$3:$F$132,6,FALSE),0)</f>
        <v>#DIV/0!</v>
      </c>
      <c r="H122" s="28" t="e">
        <f t="shared" si="1"/>
        <v>#DIV/0!</v>
      </c>
    </row>
    <row r="123" spans="1:8" x14ac:dyDescent="0.3">
      <c r="A123" s="8" t="s">
        <v>129</v>
      </c>
      <c r="B123" s="8">
        <f>VLOOKUP(A123,Operations!$A$3:$B$132,2,TRUE)</f>
        <v>5</v>
      </c>
      <c r="C123" s="8">
        <f>VLOOKUP(A123,Operations!$A$3:$C$132,3,0)</f>
        <v>0</v>
      </c>
      <c r="D123" s="2" t="s">
        <v>149</v>
      </c>
      <c r="E123" s="2">
        <f>IFERROR(INDEX(Operations!$H$3:$K$132,MATCH(A123,Operations!$A$3:$A$132,0),MATCH(Link!D123,Operations!$H$2:$K$2,0)),"")</f>
        <v>0</v>
      </c>
      <c r="F123" t="b">
        <f>IF(E123&lt;&gt;0,IFERROR(VLOOKUP(A123,Operations!$A$3:$F$132,6,FALSE)*INDEX(Operations!$L$3:$O$132,MATCH(Link!A123,Operations!$A$3:$A$132,0),MATCH(Link!D123,Operations!$L$2:$O$2,0)),0))</f>
        <v>0</v>
      </c>
      <c r="G123" s="29" t="e">
        <f>ROUND((3600*F123/SUMIF($E$2:$E$521,E123,$F$2:$F$521))/VLOOKUP(A123,Operations!$A$3:$F$132,6,FALSE),0)</f>
        <v>#DIV/0!</v>
      </c>
      <c r="H123" s="28" t="e">
        <f t="shared" si="1"/>
        <v>#DIV/0!</v>
      </c>
    </row>
    <row r="124" spans="1:8" x14ac:dyDescent="0.3">
      <c r="A124" s="8" t="s">
        <v>130</v>
      </c>
      <c r="B124" s="8">
        <f>VLOOKUP(A124,Operations!$A$3:$B$132,2,TRUE)</f>
        <v>5</v>
      </c>
      <c r="C124" s="8">
        <f>VLOOKUP(A124,Operations!$A$3:$C$132,3,0)</f>
        <v>0</v>
      </c>
      <c r="D124" s="2" t="s">
        <v>149</v>
      </c>
      <c r="E124" s="2">
        <f>IFERROR(INDEX(Operations!$H$3:$K$132,MATCH(A124,Operations!$A$3:$A$132,0),MATCH(Link!D124,Operations!$H$2:$K$2,0)),"")</f>
        <v>0</v>
      </c>
      <c r="F124" t="b">
        <f>IF(E124&lt;&gt;0,IFERROR(VLOOKUP(A124,Operations!$A$3:$F$132,6,FALSE)*INDEX(Operations!$L$3:$O$132,MATCH(Link!A124,Operations!$A$3:$A$132,0),MATCH(Link!D124,Operations!$L$2:$O$2,0)),0))</f>
        <v>0</v>
      </c>
      <c r="G124" s="29" t="e">
        <f>ROUND((3600*F124/SUMIF($E$2:$E$521,E124,$F$2:$F$521))/VLOOKUP(A124,Operations!$A$3:$F$132,6,FALSE),0)</f>
        <v>#DIV/0!</v>
      </c>
      <c r="H124" s="28" t="e">
        <f t="shared" si="1"/>
        <v>#DIV/0!</v>
      </c>
    </row>
    <row r="125" spans="1:8" x14ac:dyDescent="0.3">
      <c r="A125" s="8" t="s">
        <v>131</v>
      </c>
      <c r="B125" s="8">
        <f>VLOOKUP(A125,Operations!$A$3:$B$132,2,TRUE)</f>
        <v>5</v>
      </c>
      <c r="C125" s="8">
        <f>VLOOKUP(A125,Operations!$A$3:$C$132,3,0)</f>
        <v>0</v>
      </c>
      <c r="D125" s="2" t="s">
        <v>149</v>
      </c>
      <c r="E125" s="2">
        <f>IFERROR(INDEX(Operations!$H$3:$K$132,MATCH(A125,Operations!$A$3:$A$132,0),MATCH(Link!D125,Operations!$H$2:$K$2,0)),"")</f>
        <v>0</v>
      </c>
      <c r="F125" t="b">
        <f>IF(E125&lt;&gt;0,IFERROR(VLOOKUP(A125,Operations!$A$3:$F$132,6,FALSE)*INDEX(Operations!$L$3:$O$132,MATCH(Link!A125,Operations!$A$3:$A$132,0),MATCH(Link!D125,Operations!$L$2:$O$2,0)),0))</f>
        <v>0</v>
      </c>
      <c r="G125" s="29" t="e">
        <f>ROUND((3600*F125/SUMIF($E$2:$E$521,E125,$F$2:$F$521))/VLOOKUP(A125,Operations!$A$3:$F$132,6,FALSE),0)</f>
        <v>#DIV/0!</v>
      </c>
      <c r="H125" s="28" t="e">
        <f t="shared" si="1"/>
        <v>#DIV/0!</v>
      </c>
    </row>
    <row r="126" spans="1:8" x14ac:dyDescent="0.3">
      <c r="A126" s="8" t="s">
        <v>132</v>
      </c>
      <c r="B126" s="8">
        <f>VLOOKUP(A126,Operations!$A$3:$B$132,2,TRUE)</f>
        <v>5</v>
      </c>
      <c r="C126" s="8">
        <f>VLOOKUP(A126,Operations!$A$3:$C$132,3,0)</f>
        <v>0</v>
      </c>
      <c r="D126" s="2" t="s">
        <v>149</v>
      </c>
      <c r="E126" s="2">
        <f>IFERROR(INDEX(Operations!$H$3:$K$132,MATCH(A126,Operations!$A$3:$A$132,0),MATCH(Link!D126,Operations!$H$2:$K$2,0)),"")</f>
        <v>0</v>
      </c>
      <c r="F126" t="b">
        <f>IF(E126&lt;&gt;0,IFERROR(VLOOKUP(A126,Operations!$A$3:$F$132,6,FALSE)*INDEX(Operations!$L$3:$O$132,MATCH(Link!A126,Operations!$A$3:$A$132,0),MATCH(Link!D126,Operations!$L$2:$O$2,0)),0))</f>
        <v>0</v>
      </c>
      <c r="G126" s="29" t="e">
        <f>ROUND((3600*F126/SUMIF($E$2:$E$521,E126,$F$2:$F$521))/VLOOKUP(A126,Operations!$A$3:$F$132,6,FALSE),0)</f>
        <v>#DIV/0!</v>
      </c>
      <c r="H126" s="28" t="e">
        <f t="shared" si="1"/>
        <v>#DIV/0!</v>
      </c>
    </row>
    <row r="127" spans="1:8" x14ac:dyDescent="0.3">
      <c r="A127" s="8" t="s">
        <v>133</v>
      </c>
      <c r="B127" s="8">
        <f>VLOOKUP(A127,Operations!$A$3:$B$132,2,TRUE)</f>
        <v>5</v>
      </c>
      <c r="C127" s="8">
        <f>VLOOKUP(A127,Operations!$A$3:$C$132,3,0)</f>
        <v>0</v>
      </c>
      <c r="D127" s="2" t="s">
        <v>149</v>
      </c>
      <c r="E127" s="2">
        <f>IFERROR(INDEX(Operations!$H$3:$K$132,MATCH(A127,Operations!$A$3:$A$132,0),MATCH(Link!D127,Operations!$H$2:$K$2,0)),"")</f>
        <v>0</v>
      </c>
      <c r="F127" t="b">
        <f>IF(E127&lt;&gt;0,IFERROR(VLOOKUP(A127,Operations!$A$3:$F$132,6,FALSE)*INDEX(Operations!$L$3:$O$132,MATCH(Link!A127,Operations!$A$3:$A$132,0),MATCH(Link!D127,Operations!$L$2:$O$2,0)),0))</f>
        <v>0</v>
      </c>
      <c r="G127" s="29" t="e">
        <f>ROUND((3600*F127/SUMIF($E$2:$E$521,E127,$F$2:$F$521))/VLOOKUP(A127,Operations!$A$3:$F$132,6,FALSE),0)</f>
        <v>#DIV/0!</v>
      </c>
      <c r="H127" s="28" t="e">
        <f t="shared" si="1"/>
        <v>#DIV/0!</v>
      </c>
    </row>
    <row r="128" spans="1:8" x14ac:dyDescent="0.3">
      <c r="A128" s="8" t="s">
        <v>134</v>
      </c>
      <c r="B128" s="8">
        <f>VLOOKUP(A128,Operations!$A$3:$B$132,2,TRUE)</f>
        <v>5</v>
      </c>
      <c r="C128" s="8">
        <f>VLOOKUP(A128,Operations!$A$3:$C$132,3,0)</f>
        <v>0</v>
      </c>
      <c r="D128" s="2" t="s">
        <v>149</v>
      </c>
      <c r="E128" s="2">
        <f>IFERROR(INDEX(Operations!$H$3:$K$132,MATCH(A128,Operations!$A$3:$A$132,0),MATCH(Link!D128,Operations!$H$2:$K$2,0)),"")</f>
        <v>0</v>
      </c>
      <c r="F128" t="b">
        <f>IF(E128&lt;&gt;0,IFERROR(VLOOKUP(A128,Operations!$A$3:$F$132,6,FALSE)*INDEX(Operations!$L$3:$O$132,MATCH(Link!A128,Operations!$A$3:$A$132,0),MATCH(Link!D128,Operations!$L$2:$O$2,0)),0))</f>
        <v>0</v>
      </c>
      <c r="G128" s="29" t="e">
        <f>ROUND((3600*F128/SUMIF($E$2:$E$521,E128,$F$2:$F$521))/VLOOKUP(A128,Operations!$A$3:$F$132,6,FALSE),0)</f>
        <v>#DIV/0!</v>
      </c>
      <c r="H128" s="28" t="e">
        <f t="shared" si="1"/>
        <v>#DIV/0!</v>
      </c>
    </row>
    <row r="129" spans="1:8" x14ac:dyDescent="0.3">
      <c r="A129" s="8" t="s">
        <v>135</v>
      </c>
      <c r="B129" s="8">
        <f>VLOOKUP(A129,Operations!$A$3:$B$132,2,TRUE)</f>
        <v>5</v>
      </c>
      <c r="C129" s="8">
        <f>VLOOKUP(A129,Operations!$A$3:$C$132,3,0)</f>
        <v>0</v>
      </c>
      <c r="D129" s="2" t="s">
        <v>149</v>
      </c>
      <c r="E129" s="2">
        <f>IFERROR(INDEX(Operations!$H$3:$K$132,MATCH(A129,Operations!$A$3:$A$132,0),MATCH(Link!D129,Operations!$H$2:$K$2,0)),"")</f>
        <v>0</v>
      </c>
      <c r="F129" t="b">
        <f>IF(E129&lt;&gt;0,IFERROR(VLOOKUP(A129,Operations!$A$3:$F$132,6,FALSE)*INDEX(Operations!$L$3:$O$132,MATCH(Link!A129,Operations!$A$3:$A$132,0),MATCH(Link!D129,Operations!$L$2:$O$2,0)),0))</f>
        <v>0</v>
      </c>
      <c r="G129" s="29" t="e">
        <f>ROUND((3600*F129/SUMIF($E$2:$E$521,E129,$F$2:$F$521))/VLOOKUP(A129,Operations!$A$3:$F$132,6,FALSE),0)</f>
        <v>#DIV/0!</v>
      </c>
      <c r="H129" s="28" t="e">
        <f t="shared" si="1"/>
        <v>#DIV/0!</v>
      </c>
    </row>
    <row r="130" spans="1:8" x14ac:dyDescent="0.3">
      <c r="A130" s="8" t="s">
        <v>136</v>
      </c>
      <c r="B130" s="8">
        <f>VLOOKUP(A130,Operations!$A$3:$B$132,2,TRUE)</f>
        <v>5</v>
      </c>
      <c r="C130" s="8">
        <f>VLOOKUP(A130,Operations!$A$3:$C$132,3,0)</f>
        <v>0</v>
      </c>
      <c r="D130" s="2" t="s">
        <v>149</v>
      </c>
      <c r="E130" s="2">
        <f>IFERROR(INDEX(Operations!$H$3:$K$132,MATCH(A130,Operations!$A$3:$A$132,0),MATCH(Link!D130,Operations!$H$2:$K$2,0)),"")</f>
        <v>0</v>
      </c>
      <c r="F130" t="b">
        <f>IF(E130&lt;&gt;0,IFERROR(VLOOKUP(A130,Operations!$A$3:$F$132,6,FALSE)*INDEX(Operations!$L$3:$O$132,MATCH(Link!A130,Operations!$A$3:$A$132,0),MATCH(Link!D130,Operations!$L$2:$O$2,0)),0))</f>
        <v>0</v>
      </c>
      <c r="G130" s="29" t="e">
        <f>ROUND((3600*F130/SUMIF($E$2:$E$521,E130,$F$2:$F$521))/VLOOKUP(A130,Operations!$A$3:$F$132,6,FALSE),0)</f>
        <v>#DIV/0!</v>
      </c>
      <c r="H130" s="28" t="e">
        <f t="shared" si="1"/>
        <v>#DIV/0!</v>
      </c>
    </row>
    <row r="131" spans="1:8" x14ac:dyDescent="0.3">
      <c r="A131" s="8" t="s">
        <v>137</v>
      </c>
      <c r="B131" s="8">
        <f>VLOOKUP(A131,Operations!$A$3:$B$132,2,TRUE)</f>
        <v>4</v>
      </c>
      <c r="C131" s="8">
        <f>VLOOKUP(A131,Operations!$A$3:$C$132,3,0)</f>
        <v>0</v>
      </c>
      <c r="D131" s="2" t="s">
        <v>149</v>
      </c>
      <c r="E131" s="2">
        <f>IFERROR(INDEX(Operations!$H$3:$K$132,MATCH(A131,Operations!$A$3:$A$132,0),MATCH(Link!D131,Operations!$H$2:$K$2,0)),"")</f>
        <v>0</v>
      </c>
      <c r="F131" t="b">
        <f>IF(E131&lt;&gt;0,IFERROR(VLOOKUP(A131,Operations!$A$3:$F$132,6,FALSE)*INDEX(Operations!$L$3:$O$132,MATCH(Link!A131,Operations!$A$3:$A$132,0),MATCH(Link!D131,Operations!$L$2:$O$2,0)),0))</f>
        <v>0</v>
      </c>
      <c r="G131" s="29" t="e">
        <f>ROUND((3600*F131/SUMIF($E$2:$E$521,E131,$F$2:$F$521))/VLOOKUP(A131,Operations!$A$3:$F$132,6,FALSE),0)</f>
        <v>#DIV/0!</v>
      </c>
      <c r="H131" s="28" t="e">
        <f t="shared" ref="H131:H194" si="2">C131&amp;":"&amp;" "&amp;G131</f>
        <v>#DIV/0!</v>
      </c>
    </row>
    <row r="132" spans="1:8" x14ac:dyDescent="0.3">
      <c r="A132" s="2" t="s">
        <v>9</v>
      </c>
      <c r="B132" s="8">
        <f>VLOOKUP(A132,Operations!$A$3:$B$132,2,TRUE)</f>
        <v>0</v>
      </c>
      <c r="C132" s="8" t="str">
        <f>VLOOKUP(A132,Operations!$A$3:$C$132,3,0)</f>
        <v>Treo móc</v>
      </c>
      <c r="D132" s="2" t="s">
        <v>150</v>
      </c>
      <c r="E132" s="2" t="str">
        <f>IFERROR(INDEX(Operations!$H$3:$K$132,MATCH(A132,Operations!$A$3:$A$132,0),MATCH(Link!D132,Operations!$H$2:$K$2,0)),"")</f>
        <v>W02</v>
      </c>
      <c r="F132">
        <f>IF(E132&lt;&gt;0,IFERROR(VLOOKUP(A132,Operations!$A$3:$F$132,6,FALSE)*INDEX(Operations!$L$3:$O$132,MATCH(Link!A132,Operations!$A$3:$A$132,0),MATCH(Link!D132,Operations!$L$2:$O$2,0)),0))</f>
        <v>5</v>
      </c>
      <c r="G132" s="29">
        <f>ROUND((3600*F132/SUMIF($E$2:$E$521,E132,$F$2:$F$521))/VLOOKUP(A132,Operations!$A$3:$F$132,6,FALSE),0)</f>
        <v>65</v>
      </c>
      <c r="H132" s="28" t="str">
        <f t="shared" si="2"/>
        <v>Treo móc: 65</v>
      </c>
    </row>
    <row r="133" spans="1:8" x14ac:dyDescent="0.3">
      <c r="A133" s="2" t="s">
        <v>8</v>
      </c>
      <c r="B133" s="8">
        <f>VLOOKUP(A133,Operations!$A$3:$B$132,2,TRUE)</f>
        <v>15</v>
      </c>
      <c r="C133" s="8" t="str">
        <f>VLOOKUP(A133,Operations!$A$3:$C$132,3,0)</f>
        <v>Khóa lai áo tròn</v>
      </c>
      <c r="D133" s="2" t="s">
        <v>150</v>
      </c>
      <c r="E133" s="2">
        <f>IFERROR(INDEX(Operations!$H$3:$K$132,MATCH(A133,Operations!$A$3:$A$132,0),MATCH(Link!D133,Operations!$H$2:$K$2,0)),"")</f>
        <v>0</v>
      </c>
      <c r="F133" t="b">
        <f>IF(E133&lt;&gt;0,IFERROR(VLOOKUP(A133,Operations!$A$3:$F$132,6,FALSE)*INDEX(Operations!$L$3:$O$132,MATCH(Link!A133,Operations!$A$3:$A$132,0),MATCH(Link!D133,Operations!$L$2:$O$2,0)),0))</f>
        <v>0</v>
      </c>
      <c r="G133" s="29" t="e">
        <f>ROUND((3600*F133/SUMIF($E$2:$E$521,E133,$F$2:$F$521))/VLOOKUP(A133,Operations!$A$3:$F$132,6,FALSE),0)</f>
        <v>#DIV/0!</v>
      </c>
      <c r="H133" s="28" t="e">
        <f t="shared" si="2"/>
        <v>#DIV/0!</v>
      </c>
    </row>
    <row r="134" spans="1:8" x14ac:dyDescent="0.3">
      <c r="A134" s="2" t="s">
        <v>10</v>
      </c>
      <c r="B134" s="8">
        <f>VLOOKUP(A134,Operations!$A$3:$B$132,2,TRUE)</f>
        <v>14</v>
      </c>
      <c r="C134" s="8" t="str">
        <f>VLOOKUP(A134,Operations!$A$3:$C$132,3,0)</f>
        <v>May lai áo tròn</v>
      </c>
      <c r="D134" s="2" t="s">
        <v>150</v>
      </c>
      <c r="E134" s="2" t="str">
        <f>IFERROR(INDEX(Operations!$H$3:$K$132,MATCH(A134,Operations!$A$3:$A$132,0),MATCH(Link!D134,Operations!$H$2:$K$2,0)),"")</f>
        <v>W24</v>
      </c>
      <c r="F134">
        <f>IF(E134&lt;&gt;0,IFERROR(VLOOKUP(A134,Operations!$A$3:$F$132,6,FALSE)*INDEX(Operations!$L$3:$O$132,MATCH(Link!A134,Operations!$A$3:$A$132,0),MATCH(Link!D134,Operations!$L$2:$O$2,0)),0))</f>
        <v>15.048000000000002</v>
      </c>
      <c r="G134" s="29">
        <f>ROUND((3600*F134/SUMIF($E$2:$E$521,E134,$F$2:$F$521))/VLOOKUP(A134,Operations!$A$3:$F$132,6,FALSE),0)</f>
        <v>120</v>
      </c>
      <c r="H134" s="28" t="str">
        <f t="shared" si="2"/>
        <v>May lai áo tròn: 120</v>
      </c>
    </row>
    <row r="135" spans="1:8" x14ac:dyDescent="0.3">
      <c r="A135" s="2" t="s">
        <v>11</v>
      </c>
      <c r="B135" s="8">
        <f>VLOOKUP(A135,Operations!$A$3:$B$132,2,TRUE)</f>
        <v>13</v>
      </c>
      <c r="C135" s="8" t="str">
        <f>VLOOKUP(A135,Operations!$A$3:$C$132,3,0)</f>
        <v>Khóa lai tay dài</v>
      </c>
      <c r="D135" s="2" t="s">
        <v>150</v>
      </c>
      <c r="E135" s="2" t="str">
        <f>IFERROR(INDEX(Operations!$H$3:$K$132,MATCH(A135,Operations!$A$3:$A$132,0),MATCH(Link!D135,Operations!$H$2:$K$2,0)),"")</f>
        <v>W21</v>
      </c>
      <c r="F135">
        <f>IF(E135&lt;&gt;0,IFERROR(VLOOKUP(A135,Operations!$A$3:$F$132,6,FALSE)*INDEX(Operations!$L$3:$O$132,MATCH(Link!A135,Operations!$A$3:$A$132,0),MATCH(Link!D135,Operations!$L$2:$O$2,0)),0))</f>
        <v>14.847</v>
      </c>
      <c r="G135" s="29">
        <f>ROUND((3600*F135/SUMIF($E$2:$E$521,E135,$F$2:$F$521))/VLOOKUP(A135,Operations!$A$3:$F$132,6,FALSE),0)</f>
        <v>121</v>
      </c>
      <c r="H135" s="28" t="str">
        <f t="shared" si="2"/>
        <v>Khóa lai tay dài: 121</v>
      </c>
    </row>
    <row r="136" spans="1:8" x14ac:dyDescent="0.3">
      <c r="A136" s="2" t="s">
        <v>12</v>
      </c>
      <c r="B136" s="8">
        <f>VLOOKUP(A136,Operations!$A$3:$B$132,2,TRUE)</f>
        <v>12</v>
      </c>
      <c r="C136" s="8" t="str">
        <f>VLOOKUP(A136,Operations!$A$3:$C$132,3,0)</f>
        <v xml:space="preserve">VS sườn tay dài + sườn áo  + gắn nhãn </v>
      </c>
      <c r="D136" s="2" t="s">
        <v>150</v>
      </c>
      <c r="E136" s="2" t="str">
        <f>IFERROR(INDEX(Operations!$H$3:$K$132,MATCH(A136,Operations!$A$3:$A$132,0),MATCH(Link!D136,Operations!$H$2:$K$2,0)),"")</f>
        <v>W18</v>
      </c>
      <c r="F136">
        <f>IF(E136&lt;&gt;0,IFERROR(VLOOKUP(A136,Operations!$A$3:$F$132,6,FALSE)*INDEX(Operations!$L$3:$O$132,MATCH(Link!A136,Operations!$A$3:$A$132,0),MATCH(Link!D136,Operations!$L$2:$O$2,0)),0))</f>
        <v>14.408000000000001</v>
      </c>
      <c r="G136" s="29">
        <f>ROUND((3600*F136/SUMIF($E$2:$E$521,E136,$F$2:$F$521))/VLOOKUP(A136,Operations!$A$3:$F$132,6,FALSE),0)</f>
        <v>83</v>
      </c>
      <c r="H136" s="28" t="str">
        <f t="shared" si="2"/>
        <v>VS sườn tay dài + sườn áo  + gắn nhãn : 83</v>
      </c>
    </row>
    <row r="137" spans="1:8" x14ac:dyDescent="0.3">
      <c r="A137" s="2" t="s">
        <v>13</v>
      </c>
      <c r="B137" s="8">
        <f>VLOOKUP(A137,Operations!$A$3:$B$132,2,TRUE)</f>
        <v>11</v>
      </c>
      <c r="C137" s="8" t="str">
        <f>VLOOKUP(A137,Operations!$A$3:$C$132,3,0)</f>
        <v>Lược nhãn sườn</v>
      </c>
      <c r="D137" s="2" t="s">
        <v>150</v>
      </c>
      <c r="E137" s="2">
        <f>IFERROR(INDEX(Operations!$H$3:$K$132,MATCH(A137,Operations!$A$3:$A$132,0),MATCH(Link!D137,Operations!$H$2:$K$2,0)),"")</f>
        <v>0</v>
      </c>
      <c r="F137" t="b">
        <f>IF(E137&lt;&gt;0,IFERROR(VLOOKUP(A137,Operations!$A$3:$F$132,6,FALSE)*INDEX(Operations!$L$3:$O$132,MATCH(Link!A137,Operations!$A$3:$A$132,0),MATCH(Link!D137,Operations!$L$2:$O$2,0)),0))</f>
        <v>0</v>
      </c>
      <c r="G137" s="29" t="e">
        <f>ROUND((3600*F137/SUMIF($E$2:$E$521,E137,$F$2:$F$521))/VLOOKUP(A137,Operations!$A$3:$F$132,6,FALSE),0)</f>
        <v>#DIV/0!</v>
      </c>
      <c r="H137" s="28" t="e">
        <f t="shared" si="2"/>
        <v>#DIV/0!</v>
      </c>
    </row>
    <row r="138" spans="1:8" x14ac:dyDescent="0.3">
      <c r="A138" s="2" t="s">
        <v>14</v>
      </c>
      <c r="B138" s="8">
        <f>VLOOKUP(A138,Operations!$A$3:$B$132,2,TRUE)</f>
        <v>10</v>
      </c>
      <c r="C138" s="8" t="str">
        <f>VLOOKUP(A138,Operations!$A$3:$C$132,3,0)</f>
        <v>VS tra tay thẳng</v>
      </c>
      <c r="D138" s="2" t="s">
        <v>150</v>
      </c>
      <c r="E138" s="2" t="str">
        <f>IFERROR(INDEX(Operations!$H$3:$K$132,MATCH(A138,Operations!$A$3:$A$132,0),MATCH(Link!D138,Operations!$H$2:$K$2,0)),"")</f>
        <v>W15</v>
      </c>
      <c r="F138">
        <f>IF(E138&lt;&gt;0,IFERROR(VLOOKUP(A138,Operations!$A$3:$F$132,6,FALSE)*INDEX(Operations!$L$3:$O$132,MATCH(Link!A138,Operations!$A$3:$A$132,0),MATCH(Link!D138,Operations!$L$2:$O$2,0)),0))</f>
        <v>16.5</v>
      </c>
      <c r="G138" s="29">
        <f>ROUND((3600*F138/SUMIF($E$2:$E$521,E138,$F$2:$F$521))/VLOOKUP(A138,Operations!$A$3:$F$132,6,FALSE),0)</f>
        <v>95</v>
      </c>
      <c r="H138" s="28" t="str">
        <f t="shared" si="2"/>
        <v>VS tra tay thẳng: 95</v>
      </c>
    </row>
    <row r="139" spans="1:8" x14ac:dyDescent="0.3">
      <c r="A139" s="2" t="s">
        <v>15</v>
      </c>
      <c r="B139" s="8">
        <f>VLOOKUP(A139,Operations!$A$3:$B$132,2,TRUE)</f>
        <v>9</v>
      </c>
      <c r="C139" s="8" t="str">
        <f>VLOOKUP(A139,Operations!$A$3:$C$132,3,0)</f>
        <v>Mí viền cổ - canh nhãn cổ</v>
      </c>
      <c r="D139" s="2" t="s">
        <v>150</v>
      </c>
      <c r="E139" s="2" t="str">
        <f>IFERROR(INDEX(Operations!$H$3:$K$132,MATCH(A139,Operations!$A$3:$A$132,0),MATCH(Link!D139,Operations!$H$2:$K$2,0)),"")</f>
        <v>W05</v>
      </c>
      <c r="F139">
        <f>IF(E139&lt;&gt;0,IFERROR(VLOOKUP(A139,Operations!$A$3:$F$132,6,FALSE)*INDEX(Operations!$L$3:$O$132,MATCH(Link!A139,Operations!$A$3:$A$132,0),MATCH(Link!D139,Operations!$L$2:$O$2,0)),0))</f>
        <v>5.6160000000000005</v>
      </c>
      <c r="G139" s="29">
        <f>ROUND((3600*F139/SUMIF($E$2:$E$521,E139,$F$2:$F$521))/VLOOKUP(A139,Operations!$A$3:$F$132,6,FALSE),0)</f>
        <v>77</v>
      </c>
      <c r="H139" s="28" t="str">
        <f t="shared" si="2"/>
        <v>Mí viền cổ - canh nhãn cổ: 77</v>
      </c>
    </row>
    <row r="140" spans="1:8" x14ac:dyDescent="0.3">
      <c r="A140" s="2" t="s">
        <v>16</v>
      </c>
      <c r="B140" s="8">
        <f>VLOOKUP(A140,Operations!$A$3:$B$132,2,TRUE)</f>
        <v>8</v>
      </c>
      <c r="C140" s="8" t="str">
        <f>VLOOKUP(A140,Operations!$A$3:$C$132,3,0)</f>
        <v xml:space="preserve">LD + lược 1 nhãn vào giữa cổ </v>
      </c>
      <c r="D140" s="2" t="s">
        <v>150</v>
      </c>
      <c r="E140" s="2" t="str">
        <f>IFERROR(INDEX(Operations!$H$3:$K$132,MATCH(A140,Operations!$A$3:$A$132,0),MATCH(Link!D140,Operations!$H$2:$K$2,0)),"")</f>
        <v>W12</v>
      </c>
      <c r="F140">
        <f>IF(E140&lt;&gt;0,IFERROR(VLOOKUP(A140,Operations!$A$3:$F$132,6,FALSE)*INDEX(Operations!$L$3:$O$132,MATCH(Link!A140,Operations!$A$3:$A$132,0),MATCH(Link!D140,Operations!$L$2:$O$2,0)),0))</f>
        <v>8.6920000000000019</v>
      </c>
      <c r="G140" s="29">
        <f>ROUND((3600*F140/SUMIF($E$2:$E$521,E140,$F$2:$F$521))/VLOOKUP(A140,Operations!$A$3:$F$132,6,FALSE),0)</f>
        <v>73</v>
      </c>
      <c r="H140" s="28" t="str">
        <f t="shared" si="2"/>
        <v>LD + lược 1 nhãn vào giữa cổ : 73</v>
      </c>
    </row>
    <row r="141" spans="1:8" x14ac:dyDescent="0.3">
      <c r="A141" s="2" t="s">
        <v>17</v>
      </c>
      <c r="B141" s="8">
        <f>VLOOKUP(A141,Operations!$A$3:$B$132,2,TRUE)</f>
        <v>7</v>
      </c>
      <c r="C141" s="8" t="str">
        <f>VLOOKUP(A141,Operations!$A$3:$C$132,3,0)</f>
        <v>Bẻ + gói chèo 2 đầu viền</v>
      </c>
      <c r="D141" s="2" t="s">
        <v>150</v>
      </c>
      <c r="E141" s="2" t="str">
        <f>IFERROR(INDEX(Operations!$H$3:$K$132,MATCH(A141,Operations!$A$3:$A$132,0),MATCH(Link!D141,Operations!$H$2:$K$2,0)),"")</f>
        <v>W12</v>
      </c>
      <c r="F141">
        <f>IF(E141&lt;&gt;0,IFERROR(VLOOKUP(A141,Operations!$A$3:$F$132,6,FALSE)*INDEX(Operations!$L$3:$O$132,MATCH(Link!A141,Operations!$A$3:$A$132,0),MATCH(Link!D141,Operations!$L$2:$O$2,0)),0))</f>
        <v>8.2899999999999991</v>
      </c>
      <c r="G141" s="29">
        <f>ROUND((3600*F141/SUMIF($E$2:$E$521,E141,$F$2:$F$521))/VLOOKUP(A141,Operations!$A$3:$F$132,6,FALSE),0)</f>
        <v>70</v>
      </c>
      <c r="H141" s="28" t="str">
        <f t="shared" si="2"/>
        <v>Bẻ + gói chèo 2 đầu viền: 70</v>
      </c>
    </row>
    <row r="142" spans="1:8" x14ac:dyDescent="0.3">
      <c r="A142" s="2" t="s">
        <v>18</v>
      </c>
      <c r="B142" s="8">
        <f>VLOOKUP(A142,Operations!$A$3:$B$132,2,TRUE)</f>
        <v>6</v>
      </c>
      <c r="C142" s="8" t="str">
        <f>VLOOKUP(A142,Operations!$A$3:$C$132,3,0)</f>
        <v>Tra viền cổ sau</v>
      </c>
      <c r="D142" s="2" t="s">
        <v>150</v>
      </c>
      <c r="E142" s="2">
        <f>IFERROR(INDEX(Operations!$H$3:$K$132,MATCH(A142,Operations!$A$3:$A$132,0),MATCH(Link!D142,Operations!$H$2:$K$2,0)),"")</f>
        <v>0</v>
      </c>
      <c r="F142" t="b">
        <f>IF(E142&lt;&gt;0,IFERROR(VLOOKUP(A142,Operations!$A$3:$F$132,6,FALSE)*INDEX(Operations!$L$3:$O$132,MATCH(Link!A142,Operations!$A$3:$A$132,0),MATCH(Link!D142,Operations!$L$2:$O$2,0)),0))</f>
        <v>0</v>
      </c>
      <c r="G142" s="29" t="e">
        <f>ROUND((3600*F142/SUMIF($E$2:$E$521,E142,$F$2:$F$521))/VLOOKUP(A142,Operations!$A$3:$F$132,6,FALSE),0)</f>
        <v>#DIV/0!</v>
      </c>
      <c r="H142" s="28" t="e">
        <f t="shared" si="2"/>
        <v>#DIV/0!</v>
      </c>
    </row>
    <row r="143" spans="1:8" x14ac:dyDescent="0.3">
      <c r="A143" s="2" t="s">
        <v>19</v>
      </c>
      <c r="B143" s="8">
        <f>VLOOKUP(A143,Operations!$A$3:$B$132,2,TRUE)</f>
        <v>5</v>
      </c>
      <c r="C143" s="8" t="str">
        <f>VLOOKUP(A143,Operations!$A$3:$C$132,3,0)</f>
        <v>VS tra bo cổ</v>
      </c>
      <c r="D143" s="2" t="s">
        <v>150</v>
      </c>
      <c r="E143" s="2" t="str">
        <f>IFERROR(INDEX(Operations!$H$3:$K$132,MATCH(A143,Operations!$A$3:$A$132,0),MATCH(Link!D143,Operations!$H$2:$K$2,0)),"")</f>
        <v>W08</v>
      </c>
      <c r="F143">
        <f>IF(E143&lt;&gt;0,IFERROR(VLOOKUP(A143,Operations!$A$3:$F$132,6,FALSE)*INDEX(Operations!$L$3:$O$132,MATCH(Link!A143,Operations!$A$3:$A$132,0),MATCH(Link!D143,Operations!$L$2:$O$2,0)),0))</f>
        <v>8.9720000000000013</v>
      </c>
      <c r="G143" s="29">
        <f>ROUND((3600*F143/SUMIF($E$2:$E$521,E143,$F$2:$F$521))/VLOOKUP(A143,Operations!$A$3:$F$132,6,FALSE),0)</f>
        <v>86</v>
      </c>
      <c r="H143" s="28" t="str">
        <f t="shared" si="2"/>
        <v>VS tra bo cổ: 86</v>
      </c>
    </row>
    <row r="144" spans="1:8" x14ac:dyDescent="0.3">
      <c r="A144" s="2" t="s">
        <v>20</v>
      </c>
      <c r="B144" s="8">
        <f>VLOOKUP(A144,Operations!$A$3:$B$132,2,TRUE)</f>
        <v>4</v>
      </c>
      <c r="C144" s="8" t="str">
        <f>VLOOKUP(A144,Operations!$A$3:$C$132,3,0)</f>
        <v>VS vai</v>
      </c>
      <c r="D144" s="2" t="s">
        <v>150</v>
      </c>
      <c r="E144" s="2" t="str">
        <f>IFERROR(INDEX(Operations!$H$3:$K$132,MATCH(A144,Operations!$A$3:$A$132,0),MATCH(Link!D144,Operations!$H$2:$K$2,0)),"")</f>
        <v>W08</v>
      </c>
      <c r="F144">
        <f>IF(E144&lt;&gt;0,IFERROR(VLOOKUP(A144,Operations!$A$3:$F$132,6,FALSE)*INDEX(Operations!$L$3:$O$132,MATCH(Link!A144,Operations!$A$3:$A$132,0),MATCH(Link!D144,Operations!$L$2:$O$2,0)),0))</f>
        <v>6.0379999999999994</v>
      </c>
      <c r="G144" s="29">
        <f>ROUND((3600*F144/SUMIF($E$2:$E$521,E144,$F$2:$F$521))/VLOOKUP(A144,Operations!$A$3:$F$132,6,FALSE),0)</f>
        <v>66</v>
      </c>
      <c r="H144" s="28" t="str">
        <f t="shared" si="2"/>
        <v>VS vai: 66</v>
      </c>
    </row>
    <row r="145" spans="1:8" x14ac:dyDescent="0.3">
      <c r="A145" s="2" t="s">
        <v>21</v>
      </c>
      <c r="B145" s="8">
        <f>VLOOKUP(A145,Operations!$A$3:$B$132,2,TRUE)</f>
        <v>3</v>
      </c>
      <c r="C145" s="8" t="str">
        <f>VLOOKUP(A145,Operations!$A$3:$C$132,3,0)</f>
        <v>May lai tay thẳng</v>
      </c>
      <c r="D145" s="2" t="s">
        <v>150</v>
      </c>
      <c r="E145" s="2" t="str">
        <f>IFERROR(INDEX(Operations!$H$3:$K$132,MATCH(A145,Operations!$A$3:$A$132,0),MATCH(Link!D145,Operations!$H$2:$K$2,0)),"")</f>
        <v>W05</v>
      </c>
      <c r="F145">
        <f>IF(E145&lt;&gt;0,IFERROR(VLOOKUP(A145,Operations!$A$3:$F$132,6,FALSE)*INDEX(Operations!$L$3:$O$132,MATCH(Link!A145,Operations!$A$3:$A$132,0),MATCH(Link!D145,Operations!$L$2:$O$2,0)),0))</f>
        <v>7.0674545454545461</v>
      </c>
      <c r="G145" s="29">
        <f>ROUND((3600*F145/SUMIF($E$2:$E$521,E145,$F$2:$F$521))/VLOOKUP(A145,Operations!$A$3:$F$132,6,FALSE),0)</f>
        <v>90</v>
      </c>
      <c r="H145" s="28" t="str">
        <f t="shared" si="2"/>
        <v>May lai tay thẳng: 90</v>
      </c>
    </row>
    <row r="146" spans="1:8" x14ac:dyDescent="0.3">
      <c r="A146" s="2" t="s">
        <v>22</v>
      </c>
      <c r="B146" s="8">
        <f>VLOOKUP(A146,Operations!$A$3:$B$132,2,TRUE)</f>
        <v>2</v>
      </c>
      <c r="C146" s="8" t="str">
        <f>VLOOKUP(A146,Operations!$A$3:$C$132,3,0)</f>
        <v>Lộn + lược chân bo cổ</v>
      </c>
      <c r="D146" s="2" t="s">
        <v>150</v>
      </c>
      <c r="E146" s="2">
        <f>IFERROR(INDEX(Operations!$H$3:$K$132,MATCH(A146,Operations!$A$3:$A$132,0),MATCH(Link!D146,Operations!$H$2:$K$2,0)),"")</f>
        <v>0</v>
      </c>
      <c r="F146" t="b">
        <f>IF(E146&lt;&gt;0,IFERROR(VLOOKUP(A146,Operations!$A$3:$F$132,6,FALSE)*INDEX(Operations!$L$3:$O$132,MATCH(Link!A146,Operations!$A$3:$A$132,0),MATCH(Link!D146,Operations!$L$2:$O$2,0)),0))</f>
        <v>0</v>
      </c>
      <c r="G146" s="29" t="e">
        <f>ROUND((3600*F146/SUMIF($E$2:$E$521,E146,$F$2:$F$521))/VLOOKUP(A146,Operations!$A$3:$F$132,6,FALSE),0)</f>
        <v>#DIV/0!</v>
      </c>
      <c r="H146" s="28" t="e">
        <f t="shared" si="2"/>
        <v>#DIV/0!</v>
      </c>
    </row>
    <row r="147" spans="1:8" x14ac:dyDescent="0.3">
      <c r="A147" s="2" t="s">
        <v>23</v>
      </c>
      <c r="B147" s="8">
        <f>VLOOKUP(A147,Operations!$A$3:$B$132,2,TRUE)</f>
        <v>1</v>
      </c>
      <c r="C147" s="8" t="str">
        <f>VLOOKUP(A147,Operations!$A$3:$C$132,3,0)</f>
        <v xml:space="preserve">Nối bo cổ RIB </v>
      </c>
      <c r="D147" s="2" t="s">
        <v>150</v>
      </c>
      <c r="E147" s="2">
        <f>IFERROR(INDEX(Operations!$H$3:$K$132,MATCH(A147,Operations!$A$3:$A$132,0),MATCH(Link!D147,Operations!$H$2:$K$2,0)),"")</f>
        <v>0</v>
      </c>
      <c r="F147" t="b">
        <f>IF(E147&lt;&gt;0,IFERROR(VLOOKUP(A147,Operations!$A$3:$F$132,6,FALSE)*INDEX(Operations!$L$3:$O$132,MATCH(Link!A147,Operations!$A$3:$A$132,0),MATCH(Link!D147,Operations!$L$2:$O$2,0)),0))</f>
        <v>0</v>
      </c>
      <c r="G147" s="29" t="e">
        <f>ROUND((3600*F147/SUMIF($E$2:$E$521,E147,$F$2:$F$521))/VLOOKUP(A147,Operations!$A$3:$F$132,6,FALSE),0)</f>
        <v>#DIV/0!</v>
      </c>
      <c r="H147" s="28" t="e">
        <f t="shared" si="2"/>
        <v>#DIV/0!</v>
      </c>
    </row>
    <row r="148" spans="1:8" x14ac:dyDescent="0.3">
      <c r="A148" s="2" t="s">
        <v>24</v>
      </c>
      <c r="B148" s="8">
        <f>VLOOKUP(A148,Operations!$A$3:$B$132,2,TRUE)</f>
        <v>0</v>
      </c>
      <c r="C148" s="8">
        <f>VLOOKUP(A148,Operations!$A$3:$C$132,3,0)</f>
        <v>0</v>
      </c>
      <c r="D148" s="2" t="s">
        <v>150</v>
      </c>
      <c r="E148" s="2">
        <f>IFERROR(INDEX(Operations!$H$3:$K$132,MATCH(A148,Operations!$A$3:$A$132,0),MATCH(Link!D148,Operations!$H$2:$K$2,0)),"")</f>
        <v>0</v>
      </c>
      <c r="F148" t="b">
        <f>IF(E148&lt;&gt;0,IFERROR(VLOOKUP(A148,Operations!$A$3:$F$132,6,FALSE)*INDEX(Operations!$L$3:$O$132,MATCH(Link!A148,Operations!$A$3:$A$132,0),MATCH(Link!D148,Operations!$L$2:$O$2,0)),0))</f>
        <v>0</v>
      </c>
      <c r="G148" s="29" t="e">
        <f>ROUND((3600*F148/SUMIF($E$2:$E$521,E148,$F$2:$F$521))/VLOOKUP(A148,Operations!$A$3:$F$132,6,FALSE),0)</f>
        <v>#DIV/0!</v>
      </c>
      <c r="H148" s="28" t="e">
        <f t="shared" si="2"/>
        <v>#DIV/0!</v>
      </c>
    </row>
    <row r="149" spans="1:8" x14ac:dyDescent="0.3">
      <c r="A149" s="2" t="s">
        <v>25</v>
      </c>
      <c r="B149" s="8">
        <f>VLOOKUP(A149,Operations!$A$3:$B$132,2,TRUE)</f>
        <v>0</v>
      </c>
      <c r="C149" s="8">
        <f>VLOOKUP(A149,Operations!$A$3:$C$132,3,0)</f>
        <v>0</v>
      </c>
      <c r="D149" s="2" t="s">
        <v>150</v>
      </c>
      <c r="E149" s="2">
        <f>IFERROR(INDEX(Operations!$H$3:$K$132,MATCH(A149,Operations!$A$3:$A$132,0),MATCH(Link!D149,Operations!$H$2:$K$2,0)),"")</f>
        <v>0</v>
      </c>
      <c r="F149" t="b">
        <f>IF(E149&lt;&gt;0,IFERROR(VLOOKUP(A149,Operations!$A$3:$F$132,6,FALSE)*INDEX(Operations!$L$3:$O$132,MATCH(Link!A149,Operations!$A$3:$A$132,0),MATCH(Link!D149,Operations!$L$2:$O$2,0)),0))</f>
        <v>0</v>
      </c>
      <c r="G149" s="29" t="e">
        <f>ROUND((3600*F149/SUMIF($E$2:$E$521,E149,$F$2:$F$521))/VLOOKUP(A149,Operations!$A$3:$F$132,6,FALSE),0)</f>
        <v>#DIV/0!</v>
      </c>
      <c r="H149" s="28" t="e">
        <f t="shared" si="2"/>
        <v>#DIV/0!</v>
      </c>
    </row>
    <row r="150" spans="1:8" x14ac:dyDescent="0.3">
      <c r="A150" s="2" t="s">
        <v>26</v>
      </c>
      <c r="B150" s="8">
        <f>VLOOKUP(A150,Operations!$A$3:$B$132,2,TRUE)</f>
        <v>0</v>
      </c>
      <c r="C150" s="8">
        <f>VLOOKUP(A150,Operations!$A$3:$C$132,3,0)</f>
        <v>0</v>
      </c>
      <c r="D150" s="2" t="s">
        <v>150</v>
      </c>
      <c r="E150" s="2">
        <f>IFERROR(INDEX(Operations!$H$3:$K$132,MATCH(A150,Operations!$A$3:$A$132,0),MATCH(Link!D150,Operations!$H$2:$K$2,0)),"")</f>
        <v>0</v>
      </c>
      <c r="F150" t="b">
        <f>IF(E150&lt;&gt;0,IFERROR(VLOOKUP(A150,Operations!$A$3:$F$132,6,FALSE)*INDEX(Operations!$L$3:$O$132,MATCH(Link!A150,Operations!$A$3:$A$132,0),MATCH(Link!D150,Operations!$L$2:$O$2,0)),0))</f>
        <v>0</v>
      </c>
      <c r="G150" s="29" t="e">
        <f>ROUND((3600*F150/SUMIF($E$2:$E$521,E150,$F$2:$F$521))/VLOOKUP(A150,Operations!$A$3:$F$132,6,FALSE),0)</f>
        <v>#DIV/0!</v>
      </c>
      <c r="H150" s="28" t="e">
        <f t="shared" si="2"/>
        <v>#DIV/0!</v>
      </c>
    </row>
    <row r="151" spans="1:8" x14ac:dyDescent="0.3">
      <c r="A151" s="2" t="s">
        <v>27</v>
      </c>
      <c r="B151" s="8">
        <f>VLOOKUP(A151,Operations!$A$3:$B$132,2,TRUE)</f>
        <v>0</v>
      </c>
      <c r="C151" s="8">
        <f>VLOOKUP(A151,Operations!$A$3:$C$132,3,0)</f>
        <v>0</v>
      </c>
      <c r="D151" s="2" t="s">
        <v>150</v>
      </c>
      <c r="E151" s="2">
        <f>IFERROR(INDEX(Operations!$H$3:$K$132,MATCH(A151,Operations!$A$3:$A$132,0),MATCH(Link!D151,Operations!$H$2:$K$2,0)),"")</f>
        <v>0</v>
      </c>
      <c r="F151" t="b">
        <f>IF(E151&lt;&gt;0,IFERROR(VLOOKUP(A151,Operations!$A$3:$F$132,6,FALSE)*INDEX(Operations!$L$3:$O$132,MATCH(Link!A151,Operations!$A$3:$A$132,0),MATCH(Link!D151,Operations!$L$2:$O$2,0)),0))</f>
        <v>0</v>
      </c>
      <c r="G151" s="29" t="e">
        <f>ROUND((3600*F151/SUMIF($E$2:$E$521,E151,$F$2:$F$521))/VLOOKUP(A151,Operations!$A$3:$F$132,6,FALSE),0)</f>
        <v>#DIV/0!</v>
      </c>
      <c r="H151" s="28" t="e">
        <f t="shared" si="2"/>
        <v>#DIV/0!</v>
      </c>
    </row>
    <row r="152" spans="1:8" x14ac:dyDescent="0.3">
      <c r="A152" s="2" t="s">
        <v>28</v>
      </c>
      <c r="B152" s="8">
        <f>VLOOKUP(A152,Operations!$A$3:$B$132,2,TRUE)</f>
        <v>0</v>
      </c>
      <c r="C152" s="8">
        <f>VLOOKUP(A152,Operations!$A$3:$C$132,3,0)</f>
        <v>0</v>
      </c>
      <c r="D152" s="2" t="s">
        <v>150</v>
      </c>
      <c r="E152" s="2">
        <f>IFERROR(INDEX(Operations!$H$3:$K$132,MATCH(A152,Operations!$A$3:$A$132,0),MATCH(Link!D152,Operations!$H$2:$K$2,0)),"")</f>
        <v>0</v>
      </c>
      <c r="F152" t="b">
        <f>IF(E152&lt;&gt;0,IFERROR(VLOOKUP(A152,Operations!$A$3:$F$132,6,FALSE)*INDEX(Operations!$L$3:$O$132,MATCH(Link!A152,Operations!$A$3:$A$132,0),MATCH(Link!D152,Operations!$L$2:$O$2,0)),0))</f>
        <v>0</v>
      </c>
      <c r="G152" s="29" t="e">
        <f>ROUND((3600*F152/SUMIF($E$2:$E$521,E152,$F$2:$F$521))/VLOOKUP(A152,Operations!$A$3:$F$132,6,FALSE),0)</f>
        <v>#DIV/0!</v>
      </c>
      <c r="H152" s="28" t="e">
        <f t="shared" si="2"/>
        <v>#DIV/0!</v>
      </c>
    </row>
    <row r="153" spans="1:8" x14ac:dyDescent="0.3">
      <c r="A153" s="2" t="s">
        <v>29</v>
      </c>
      <c r="B153" s="8">
        <f>VLOOKUP(A153,Operations!$A$3:$B$132,2,TRUE)</f>
        <v>0</v>
      </c>
      <c r="C153" s="8">
        <f>VLOOKUP(A153,Operations!$A$3:$C$132,3,0)</f>
        <v>0</v>
      </c>
      <c r="D153" s="2" t="s">
        <v>150</v>
      </c>
      <c r="E153" s="2">
        <f>IFERROR(INDEX(Operations!$H$3:$K$132,MATCH(A153,Operations!$A$3:$A$132,0),MATCH(Link!D153,Operations!$H$2:$K$2,0)),"")</f>
        <v>0</v>
      </c>
      <c r="F153" t="b">
        <f>IF(E153&lt;&gt;0,IFERROR(VLOOKUP(A153,Operations!$A$3:$F$132,6,FALSE)*INDEX(Operations!$L$3:$O$132,MATCH(Link!A153,Operations!$A$3:$A$132,0),MATCH(Link!D153,Operations!$L$2:$O$2,0)),0))</f>
        <v>0</v>
      </c>
      <c r="G153" s="29" t="e">
        <f>ROUND((3600*F153/SUMIF($E$2:$E$521,E153,$F$2:$F$521))/VLOOKUP(A153,Operations!$A$3:$F$132,6,FALSE),0)</f>
        <v>#DIV/0!</v>
      </c>
      <c r="H153" s="28" t="e">
        <f t="shared" si="2"/>
        <v>#DIV/0!</v>
      </c>
    </row>
    <row r="154" spans="1:8" x14ac:dyDescent="0.3">
      <c r="A154" s="2" t="s">
        <v>30</v>
      </c>
      <c r="B154" s="8">
        <f>VLOOKUP(A154,Operations!$A$3:$B$132,2,TRUE)</f>
        <v>0</v>
      </c>
      <c r="C154" s="8">
        <f>VLOOKUP(A154,Operations!$A$3:$C$132,3,0)</f>
        <v>0</v>
      </c>
      <c r="D154" s="2" t="s">
        <v>150</v>
      </c>
      <c r="E154" s="2">
        <f>IFERROR(INDEX(Operations!$H$3:$K$132,MATCH(A154,Operations!$A$3:$A$132,0),MATCH(Link!D154,Operations!$H$2:$K$2,0)),"")</f>
        <v>0</v>
      </c>
      <c r="F154" t="b">
        <f>IF(E154&lt;&gt;0,IFERROR(VLOOKUP(A154,Operations!$A$3:$F$132,6,FALSE)*INDEX(Operations!$L$3:$O$132,MATCH(Link!A154,Operations!$A$3:$A$132,0),MATCH(Link!D154,Operations!$L$2:$O$2,0)),0))</f>
        <v>0</v>
      </c>
      <c r="G154" s="29" t="e">
        <f>ROUND((3600*F154/SUMIF($E$2:$E$521,E154,$F$2:$F$521))/VLOOKUP(A154,Operations!$A$3:$F$132,6,FALSE),0)</f>
        <v>#DIV/0!</v>
      </c>
      <c r="H154" s="28" t="e">
        <f t="shared" si="2"/>
        <v>#DIV/0!</v>
      </c>
    </row>
    <row r="155" spans="1:8" x14ac:dyDescent="0.3">
      <c r="A155" s="2" t="s">
        <v>31</v>
      </c>
      <c r="B155" s="8">
        <f>VLOOKUP(A155,Operations!$A$3:$B$132,2,TRUE)</f>
        <v>0</v>
      </c>
      <c r="C155" s="8">
        <f>VLOOKUP(A155,Operations!$A$3:$C$132,3,0)</f>
        <v>0</v>
      </c>
      <c r="D155" s="2" t="s">
        <v>150</v>
      </c>
      <c r="E155" s="2">
        <f>IFERROR(INDEX(Operations!$H$3:$K$132,MATCH(A155,Operations!$A$3:$A$132,0),MATCH(Link!D155,Operations!$H$2:$K$2,0)),"")</f>
        <v>0</v>
      </c>
      <c r="F155" t="b">
        <f>IF(E155&lt;&gt;0,IFERROR(VLOOKUP(A155,Operations!$A$3:$F$132,6,FALSE)*INDEX(Operations!$L$3:$O$132,MATCH(Link!A155,Operations!$A$3:$A$132,0),MATCH(Link!D155,Operations!$L$2:$O$2,0)),0))</f>
        <v>0</v>
      </c>
      <c r="G155" s="29" t="e">
        <f>ROUND((3600*F155/SUMIF($E$2:$E$521,E155,$F$2:$F$521))/VLOOKUP(A155,Operations!$A$3:$F$132,6,FALSE),0)</f>
        <v>#DIV/0!</v>
      </c>
      <c r="H155" s="28" t="e">
        <f t="shared" si="2"/>
        <v>#DIV/0!</v>
      </c>
    </row>
    <row r="156" spans="1:8" x14ac:dyDescent="0.3">
      <c r="A156" s="2" t="s">
        <v>32</v>
      </c>
      <c r="B156" s="8">
        <f>VLOOKUP(A156,Operations!$A$3:$B$132,2,TRUE)</f>
        <v>0</v>
      </c>
      <c r="C156" s="8">
        <f>VLOOKUP(A156,Operations!$A$3:$C$132,3,0)</f>
        <v>0</v>
      </c>
      <c r="D156" s="2" t="s">
        <v>150</v>
      </c>
      <c r="E156" s="2">
        <f>IFERROR(INDEX(Operations!$H$3:$K$132,MATCH(A156,Operations!$A$3:$A$132,0),MATCH(Link!D156,Operations!$H$2:$K$2,0)),"")</f>
        <v>0</v>
      </c>
      <c r="F156" t="b">
        <f>IF(E156&lt;&gt;0,IFERROR(VLOOKUP(A156,Operations!$A$3:$F$132,6,FALSE)*INDEX(Operations!$L$3:$O$132,MATCH(Link!A156,Operations!$A$3:$A$132,0),MATCH(Link!D156,Operations!$L$2:$O$2,0)),0))</f>
        <v>0</v>
      </c>
      <c r="G156" s="29" t="e">
        <f>ROUND((3600*F156/SUMIF($E$2:$E$521,E156,$F$2:$F$521))/VLOOKUP(A156,Operations!$A$3:$F$132,6,FALSE),0)</f>
        <v>#DIV/0!</v>
      </c>
      <c r="H156" s="28" t="e">
        <f t="shared" si="2"/>
        <v>#DIV/0!</v>
      </c>
    </row>
    <row r="157" spans="1:8" x14ac:dyDescent="0.3">
      <c r="A157" s="2" t="s">
        <v>33</v>
      </c>
      <c r="B157" s="8">
        <f>VLOOKUP(A157,Operations!$A$3:$B$132,2,TRUE)</f>
        <v>0</v>
      </c>
      <c r="C157" s="8">
        <f>VLOOKUP(A157,Operations!$A$3:$C$132,3,0)</f>
        <v>0</v>
      </c>
      <c r="D157" s="2" t="s">
        <v>150</v>
      </c>
      <c r="E157" s="2">
        <f>IFERROR(INDEX(Operations!$H$3:$K$132,MATCH(A157,Operations!$A$3:$A$132,0),MATCH(Link!D157,Operations!$H$2:$K$2,0)),"")</f>
        <v>0</v>
      </c>
      <c r="F157" t="b">
        <f>IF(E157&lt;&gt;0,IFERROR(VLOOKUP(A157,Operations!$A$3:$F$132,6,FALSE)*INDEX(Operations!$L$3:$O$132,MATCH(Link!A157,Operations!$A$3:$A$132,0),MATCH(Link!D157,Operations!$L$2:$O$2,0)),0))</f>
        <v>0</v>
      </c>
      <c r="G157" s="29" t="e">
        <f>ROUND((3600*F157/SUMIF($E$2:$E$521,E157,$F$2:$F$521))/VLOOKUP(A157,Operations!$A$3:$F$132,6,FALSE),0)</f>
        <v>#DIV/0!</v>
      </c>
      <c r="H157" s="28" t="e">
        <f t="shared" si="2"/>
        <v>#DIV/0!</v>
      </c>
    </row>
    <row r="158" spans="1:8" x14ac:dyDescent="0.3">
      <c r="A158" s="2" t="s">
        <v>34</v>
      </c>
      <c r="B158" s="8">
        <f>VLOOKUP(A158,Operations!$A$3:$B$132,2,TRUE)</f>
        <v>0</v>
      </c>
      <c r="C158" s="8">
        <f>VLOOKUP(A158,Operations!$A$3:$C$132,3,0)</f>
        <v>0</v>
      </c>
      <c r="D158" s="2" t="s">
        <v>150</v>
      </c>
      <c r="E158" s="2">
        <f>IFERROR(INDEX(Operations!$H$3:$K$132,MATCH(A158,Operations!$A$3:$A$132,0),MATCH(Link!D158,Operations!$H$2:$K$2,0)),"")</f>
        <v>0</v>
      </c>
      <c r="F158" t="b">
        <f>IF(E158&lt;&gt;0,IFERROR(VLOOKUP(A158,Operations!$A$3:$F$132,6,FALSE)*INDEX(Operations!$L$3:$O$132,MATCH(Link!A158,Operations!$A$3:$A$132,0),MATCH(Link!D158,Operations!$L$2:$O$2,0)),0))</f>
        <v>0</v>
      </c>
      <c r="G158" s="29" t="e">
        <f>ROUND((3600*F158/SUMIF($E$2:$E$521,E158,$F$2:$F$521))/VLOOKUP(A158,Operations!$A$3:$F$132,6,FALSE),0)</f>
        <v>#DIV/0!</v>
      </c>
      <c r="H158" s="28" t="e">
        <f t="shared" si="2"/>
        <v>#DIV/0!</v>
      </c>
    </row>
    <row r="159" spans="1:8" x14ac:dyDescent="0.3">
      <c r="A159" s="2" t="s">
        <v>35</v>
      </c>
      <c r="B159" s="8">
        <f>VLOOKUP(A159,Operations!$A$3:$B$132,2,TRUE)</f>
        <v>0</v>
      </c>
      <c r="C159" s="8">
        <f>VLOOKUP(A159,Operations!$A$3:$C$132,3,0)</f>
        <v>0</v>
      </c>
      <c r="D159" s="2" t="s">
        <v>150</v>
      </c>
      <c r="E159" s="2">
        <f>IFERROR(INDEX(Operations!$H$3:$K$132,MATCH(A159,Operations!$A$3:$A$132,0),MATCH(Link!D159,Operations!$H$2:$K$2,0)),"")</f>
        <v>0</v>
      </c>
      <c r="F159" t="b">
        <f>IF(E159&lt;&gt;0,IFERROR(VLOOKUP(A159,Operations!$A$3:$F$132,6,FALSE)*INDEX(Operations!$L$3:$O$132,MATCH(Link!A159,Operations!$A$3:$A$132,0),MATCH(Link!D159,Operations!$L$2:$O$2,0)),0))</f>
        <v>0</v>
      </c>
      <c r="G159" s="29" t="e">
        <f>ROUND((3600*F159/SUMIF($E$2:$E$521,E159,$F$2:$F$521))/VLOOKUP(A159,Operations!$A$3:$F$132,6,FALSE),0)</f>
        <v>#DIV/0!</v>
      </c>
      <c r="H159" s="28" t="e">
        <f t="shared" si="2"/>
        <v>#DIV/0!</v>
      </c>
    </row>
    <row r="160" spans="1:8" x14ac:dyDescent="0.3">
      <c r="A160" s="2" t="s">
        <v>36</v>
      </c>
      <c r="B160" s="8">
        <f>VLOOKUP(A160,Operations!$A$3:$B$132,2,TRUE)</f>
        <v>0</v>
      </c>
      <c r="C160" s="8">
        <f>VLOOKUP(A160,Operations!$A$3:$C$132,3,0)</f>
        <v>0</v>
      </c>
      <c r="D160" s="2" t="s">
        <v>150</v>
      </c>
      <c r="E160" s="2">
        <f>IFERROR(INDEX(Operations!$H$3:$K$132,MATCH(A160,Operations!$A$3:$A$132,0),MATCH(Link!D160,Operations!$H$2:$K$2,0)),"")</f>
        <v>0</v>
      </c>
      <c r="F160" t="b">
        <f>IF(E160&lt;&gt;0,IFERROR(VLOOKUP(A160,Operations!$A$3:$F$132,6,FALSE)*INDEX(Operations!$L$3:$O$132,MATCH(Link!A160,Operations!$A$3:$A$132,0),MATCH(Link!D160,Operations!$L$2:$O$2,0)),0))</f>
        <v>0</v>
      </c>
      <c r="G160" s="29" t="e">
        <f>ROUND((3600*F160/SUMIF($E$2:$E$521,E160,$F$2:$F$521))/VLOOKUP(A160,Operations!$A$3:$F$132,6,FALSE),0)</f>
        <v>#DIV/0!</v>
      </c>
      <c r="H160" s="28" t="e">
        <f t="shared" si="2"/>
        <v>#DIV/0!</v>
      </c>
    </row>
    <row r="161" spans="1:8" x14ac:dyDescent="0.3">
      <c r="A161" s="2" t="s">
        <v>37</v>
      </c>
      <c r="B161" s="8">
        <f>VLOOKUP(A161,Operations!$A$3:$B$132,2,TRUE)</f>
        <v>0</v>
      </c>
      <c r="C161" s="8">
        <f>VLOOKUP(A161,Operations!$A$3:$C$132,3,0)</f>
        <v>0</v>
      </c>
      <c r="D161" s="2" t="s">
        <v>150</v>
      </c>
      <c r="E161" s="2">
        <f>IFERROR(INDEX(Operations!$H$3:$K$132,MATCH(A161,Operations!$A$3:$A$132,0),MATCH(Link!D161,Operations!$H$2:$K$2,0)),"")</f>
        <v>0</v>
      </c>
      <c r="F161" t="b">
        <f>IF(E161&lt;&gt;0,IFERROR(VLOOKUP(A161,Operations!$A$3:$F$132,6,FALSE)*INDEX(Operations!$L$3:$O$132,MATCH(Link!A161,Operations!$A$3:$A$132,0),MATCH(Link!D161,Operations!$L$2:$O$2,0)),0))</f>
        <v>0</v>
      </c>
      <c r="G161" s="29" t="e">
        <f>ROUND((3600*F161/SUMIF($E$2:$E$521,E161,$F$2:$F$521))/VLOOKUP(A161,Operations!$A$3:$F$132,6,FALSE),0)</f>
        <v>#DIV/0!</v>
      </c>
      <c r="H161" s="28" t="e">
        <f t="shared" si="2"/>
        <v>#DIV/0!</v>
      </c>
    </row>
    <row r="162" spans="1:8" x14ac:dyDescent="0.3">
      <c r="A162" s="2" t="s">
        <v>38</v>
      </c>
      <c r="B162" s="8">
        <f>VLOOKUP(A162,Operations!$A$3:$B$132,2,TRUE)</f>
        <v>0</v>
      </c>
      <c r="C162" s="8">
        <f>VLOOKUP(A162,Operations!$A$3:$C$132,3,0)</f>
        <v>0</v>
      </c>
      <c r="D162" s="2" t="s">
        <v>150</v>
      </c>
      <c r="E162" s="2">
        <f>IFERROR(INDEX(Operations!$H$3:$K$132,MATCH(A162,Operations!$A$3:$A$132,0),MATCH(Link!D162,Operations!$H$2:$K$2,0)),"")</f>
        <v>0</v>
      </c>
      <c r="F162" t="b">
        <f>IF(E162&lt;&gt;0,IFERROR(VLOOKUP(A162,Operations!$A$3:$F$132,6,FALSE)*INDEX(Operations!$L$3:$O$132,MATCH(Link!A162,Operations!$A$3:$A$132,0),MATCH(Link!D162,Operations!$L$2:$O$2,0)),0))</f>
        <v>0</v>
      </c>
      <c r="G162" s="29" t="e">
        <f>ROUND((3600*F162/SUMIF($E$2:$E$521,E162,$F$2:$F$521))/VLOOKUP(A162,Operations!$A$3:$F$132,6,FALSE),0)</f>
        <v>#DIV/0!</v>
      </c>
      <c r="H162" s="28" t="e">
        <f t="shared" si="2"/>
        <v>#DIV/0!</v>
      </c>
    </row>
    <row r="163" spans="1:8" x14ac:dyDescent="0.3">
      <c r="A163" s="2" t="s">
        <v>39</v>
      </c>
      <c r="B163" s="8">
        <f>VLOOKUP(A163,Operations!$A$3:$B$132,2,TRUE)</f>
        <v>0</v>
      </c>
      <c r="C163" s="8">
        <f>VLOOKUP(A163,Operations!$A$3:$C$132,3,0)</f>
        <v>0</v>
      </c>
      <c r="D163" s="2" t="s">
        <v>150</v>
      </c>
      <c r="E163" s="2">
        <f>IFERROR(INDEX(Operations!$H$3:$K$132,MATCH(A163,Operations!$A$3:$A$132,0),MATCH(Link!D163,Operations!$H$2:$K$2,0)),"")</f>
        <v>0</v>
      </c>
      <c r="F163" t="b">
        <f>IF(E163&lt;&gt;0,IFERROR(VLOOKUP(A163,Operations!$A$3:$F$132,6,FALSE)*INDEX(Operations!$L$3:$O$132,MATCH(Link!A163,Operations!$A$3:$A$132,0),MATCH(Link!D163,Operations!$L$2:$O$2,0)),0))</f>
        <v>0</v>
      </c>
      <c r="G163" s="29" t="e">
        <f>ROUND((3600*F163/SUMIF($E$2:$E$521,E163,$F$2:$F$521))/VLOOKUP(A163,Operations!$A$3:$F$132,6,FALSE),0)</f>
        <v>#DIV/0!</v>
      </c>
      <c r="H163" s="28" t="e">
        <f t="shared" si="2"/>
        <v>#DIV/0!</v>
      </c>
    </row>
    <row r="164" spans="1:8" x14ac:dyDescent="0.3">
      <c r="A164" s="2" t="s">
        <v>40</v>
      </c>
      <c r="B164" s="8">
        <f>VLOOKUP(A164,Operations!$A$3:$B$132,2,TRUE)</f>
        <v>0</v>
      </c>
      <c r="C164" s="8">
        <f>VLOOKUP(A164,Operations!$A$3:$C$132,3,0)</f>
        <v>0</v>
      </c>
      <c r="D164" s="2" t="s">
        <v>150</v>
      </c>
      <c r="E164" s="2">
        <f>IFERROR(INDEX(Operations!$H$3:$K$132,MATCH(A164,Operations!$A$3:$A$132,0),MATCH(Link!D164,Operations!$H$2:$K$2,0)),"")</f>
        <v>0</v>
      </c>
      <c r="F164" t="b">
        <f>IF(E164&lt;&gt;0,IFERROR(VLOOKUP(A164,Operations!$A$3:$F$132,6,FALSE)*INDEX(Operations!$L$3:$O$132,MATCH(Link!A164,Operations!$A$3:$A$132,0),MATCH(Link!D164,Operations!$L$2:$O$2,0)),0))</f>
        <v>0</v>
      </c>
      <c r="G164" s="29" t="e">
        <f>ROUND((3600*F164/SUMIF($E$2:$E$521,E164,$F$2:$F$521))/VLOOKUP(A164,Operations!$A$3:$F$132,6,FALSE),0)</f>
        <v>#DIV/0!</v>
      </c>
      <c r="H164" s="28" t="e">
        <f t="shared" si="2"/>
        <v>#DIV/0!</v>
      </c>
    </row>
    <row r="165" spans="1:8" x14ac:dyDescent="0.3">
      <c r="A165" s="2" t="s">
        <v>41</v>
      </c>
      <c r="B165" s="8">
        <f>VLOOKUP(A165,Operations!$A$3:$B$132,2,TRUE)</f>
        <v>0</v>
      </c>
      <c r="C165" s="8">
        <f>VLOOKUP(A165,Operations!$A$3:$C$132,3,0)</f>
        <v>0</v>
      </c>
      <c r="D165" s="2" t="s">
        <v>150</v>
      </c>
      <c r="E165" s="2">
        <f>IFERROR(INDEX(Operations!$H$3:$K$132,MATCH(A165,Operations!$A$3:$A$132,0),MATCH(Link!D165,Operations!$H$2:$K$2,0)),"")</f>
        <v>0</v>
      </c>
      <c r="F165" t="b">
        <f>IF(E165&lt;&gt;0,IFERROR(VLOOKUP(A165,Operations!$A$3:$F$132,6,FALSE)*INDEX(Operations!$L$3:$O$132,MATCH(Link!A165,Operations!$A$3:$A$132,0),MATCH(Link!D165,Operations!$L$2:$O$2,0)),0))</f>
        <v>0</v>
      </c>
      <c r="G165" s="29" t="e">
        <f>ROUND((3600*F165/SUMIF($E$2:$E$521,E165,$F$2:$F$521))/VLOOKUP(A165,Operations!$A$3:$F$132,6,FALSE),0)</f>
        <v>#DIV/0!</v>
      </c>
      <c r="H165" s="28" t="e">
        <f t="shared" si="2"/>
        <v>#DIV/0!</v>
      </c>
    </row>
    <row r="166" spans="1:8" x14ac:dyDescent="0.3">
      <c r="A166" s="2" t="s">
        <v>42</v>
      </c>
      <c r="B166" s="8">
        <f>VLOOKUP(A166,Operations!$A$3:$B$132,2,TRUE)</f>
        <v>0</v>
      </c>
      <c r="C166" s="8">
        <f>VLOOKUP(A166,Operations!$A$3:$C$132,3,0)</f>
        <v>0</v>
      </c>
      <c r="D166" s="2" t="s">
        <v>150</v>
      </c>
      <c r="E166" s="2">
        <f>IFERROR(INDEX(Operations!$H$3:$K$132,MATCH(A166,Operations!$A$3:$A$132,0),MATCH(Link!D166,Operations!$H$2:$K$2,0)),"")</f>
        <v>0</v>
      </c>
      <c r="F166" t="b">
        <f>IF(E166&lt;&gt;0,IFERROR(VLOOKUP(A166,Operations!$A$3:$F$132,6,FALSE)*INDEX(Operations!$L$3:$O$132,MATCH(Link!A166,Operations!$A$3:$A$132,0),MATCH(Link!D166,Operations!$L$2:$O$2,0)),0))</f>
        <v>0</v>
      </c>
      <c r="G166" s="29" t="e">
        <f>ROUND((3600*F166/SUMIF($E$2:$E$521,E166,$F$2:$F$521))/VLOOKUP(A166,Operations!$A$3:$F$132,6,FALSE),0)</f>
        <v>#DIV/0!</v>
      </c>
      <c r="H166" s="28" t="e">
        <f t="shared" si="2"/>
        <v>#DIV/0!</v>
      </c>
    </row>
    <row r="167" spans="1:8" x14ac:dyDescent="0.3">
      <c r="A167" s="2" t="s">
        <v>43</v>
      </c>
      <c r="B167" s="8">
        <f>VLOOKUP(A167,Operations!$A$3:$B$132,2,TRUE)</f>
        <v>0</v>
      </c>
      <c r="C167" s="8">
        <f>VLOOKUP(A167,Operations!$A$3:$C$132,3,0)</f>
        <v>0</v>
      </c>
      <c r="D167" s="2" t="s">
        <v>150</v>
      </c>
      <c r="E167" s="2">
        <f>IFERROR(INDEX(Operations!$H$3:$K$132,MATCH(A167,Operations!$A$3:$A$132,0),MATCH(Link!D167,Operations!$H$2:$K$2,0)),"")</f>
        <v>0</v>
      </c>
      <c r="F167" t="b">
        <f>IF(E167&lt;&gt;0,IFERROR(VLOOKUP(A167,Operations!$A$3:$F$132,6,FALSE)*INDEX(Operations!$L$3:$O$132,MATCH(Link!A167,Operations!$A$3:$A$132,0),MATCH(Link!D167,Operations!$L$2:$O$2,0)),0))</f>
        <v>0</v>
      </c>
      <c r="G167" s="29" t="e">
        <f>ROUND((3600*F167/SUMIF($E$2:$E$521,E167,$F$2:$F$521))/VLOOKUP(A167,Operations!$A$3:$F$132,6,FALSE),0)</f>
        <v>#DIV/0!</v>
      </c>
      <c r="H167" s="28" t="e">
        <f t="shared" si="2"/>
        <v>#DIV/0!</v>
      </c>
    </row>
    <row r="168" spans="1:8" x14ac:dyDescent="0.3">
      <c r="A168" s="2" t="s">
        <v>44</v>
      </c>
      <c r="B168" s="8">
        <f>VLOOKUP(A168,Operations!$A$3:$B$132,2,TRUE)</f>
        <v>0</v>
      </c>
      <c r="C168" s="8">
        <f>VLOOKUP(A168,Operations!$A$3:$C$132,3,0)</f>
        <v>0</v>
      </c>
      <c r="D168" s="2" t="s">
        <v>150</v>
      </c>
      <c r="E168" s="2">
        <f>IFERROR(INDEX(Operations!$H$3:$K$132,MATCH(A168,Operations!$A$3:$A$132,0),MATCH(Link!D168,Operations!$H$2:$K$2,0)),"")</f>
        <v>0</v>
      </c>
      <c r="F168" t="b">
        <f>IF(E168&lt;&gt;0,IFERROR(VLOOKUP(A168,Operations!$A$3:$F$132,6,FALSE)*INDEX(Operations!$L$3:$O$132,MATCH(Link!A168,Operations!$A$3:$A$132,0),MATCH(Link!D168,Operations!$L$2:$O$2,0)),0))</f>
        <v>0</v>
      </c>
      <c r="G168" s="29" t="e">
        <f>ROUND((3600*F168/SUMIF($E$2:$E$521,E168,$F$2:$F$521))/VLOOKUP(A168,Operations!$A$3:$F$132,6,FALSE),0)</f>
        <v>#DIV/0!</v>
      </c>
      <c r="H168" s="28" t="e">
        <f t="shared" si="2"/>
        <v>#DIV/0!</v>
      </c>
    </row>
    <row r="169" spans="1:8" x14ac:dyDescent="0.3">
      <c r="A169" s="2" t="s">
        <v>45</v>
      </c>
      <c r="B169" s="8">
        <f>VLOOKUP(A169,Operations!$A$3:$B$132,2,TRUE)</f>
        <v>0</v>
      </c>
      <c r="C169" s="8">
        <f>VLOOKUP(A169,Operations!$A$3:$C$132,3,0)</f>
        <v>0</v>
      </c>
      <c r="D169" s="2" t="s">
        <v>150</v>
      </c>
      <c r="E169" s="2">
        <f>IFERROR(INDEX(Operations!$H$3:$K$132,MATCH(A169,Operations!$A$3:$A$132,0),MATCH(Link!D169,Operations!$H$2:$K$2,0)),"")</f>
        <v>0</v>
      </c>
      <c r="F169" t="b">
        <f>IF(E169&lt;&gt;0,IFERROR(VLOOKUP(A169,Operations!$A$3:$F$132,6,FALSE)*INDEX(Operations!$L$3:$O$132,MATCH(Link!A169,Operations!$A$3:$A$132,0),MATCH(Link!D169,Operations!$L$2:$O$2,0)),0))</f>
        <v>0</v>
      </c>
      <c r="G169" s="29" t="e">
        <f>ROUND((3600*F169/SUMIF($E$2:$E$521,E169,$F$2:$F$521))/VLOOKUP(A169,Operations!$A$3:$F$132,6,FALSE),0)</f>
        <v>#DIV/0!</v>
      </c>
      <c r="H169" s="28" t="e">
        <f t="shared" si="2"/>
        <v>#DIV/0!</v>
      </c>
    </row>
    <row r="170" spans="1:8" x14ac:dyDescent="0.3">
      <c r="A170" s="2" t="s">
        <v>46</v>
      </c>
      <c r="B170" s="8">
        <f>VLOOKUP(A170,Operations!$A$3:$B$132,2,TRUE)</f>
        <v>0</v>
      </c>
      <c r="C170" s="8">
        <f>VLOOKUP(A170,Operations!$A$3:$C$132,3,0)</f>
        <v>0</v>
      </c>
      <c r="D170" s="2" t="s">
        <v>150</v>
      </c>
      <c r="E170" s="2">
        <f>IFERROR(INDEX(Operations!$H$3:$K$132,MATCH(A170,Operations!$A$3:$A$132,0),MATCH(Link!D170,Operations!$H$2:$K$2,0)),"")</f>
        <v>0</v>
      </c>
      <c r="F170" t="b">
        <f>IF(E170&lt;&gt;0,IFERROR(VLOOKUP(A170,Operations!$A$3:$F$132,6,FALSE)*INDEX(Operations!$L$3:$O$132,MATCH(Link!A170,Operations!$A$3:$A$132,0),MATCH(Link!D170,Operations!$L$2:$O$2,0)),0))</f>
        <v>0</v>
      </c>
      <c r="G170" s="29" t="e">
        <f>ROUND((3600*F170/SUMIF($E$2:$E$521,E170,$F$2:$F$521))/VLOOKUP(A170,Operations!$A$3:$F$132,6,FALSE),0)</f>
        <v>#DIV/0!</v>
      </c>
      <c r="H170" s="28" t="e">
        <f t="shared" si="2"/>
        <v>#DIV/0!</v>
      </c>
    </row>
    <row r="171" spans="1:8" x14ac:dyDescent="0.3">
      <c r="A171" s="2" t="s">
        <v>47</v>
      </c>
      <c r="B171" s="8">
        <f>VLOOKUP(A171,Operations!$A$3:$B$132,2,TRUE)</f>
        <v>0</v>
      </c>
      <c r="C171" s="8">
        <f>VLOOKUP(A171,Operations!$A$3:$C$132,3,0)</f>
        <v>0</v>
      </c>
      <c r="D171" s="2" t="s">
        <v>150</v>
      </c>
      <c r="E171" s="2">
        <f>IFERROR(INDEX(Operations!$H$3:$K$132,MATCH(A171,Operations!$A$3:$A$132,0),MATCH(Link!D171,Operations!$H$2:$K$2,0)),"")</f>
        <v>0</v>
      </c>
      <c r="F171" t="b">
        <f>IF(E171&lt;&gt;0,IFERROR(VLOOKUP(A171,Operations!$A$3:$F$132,6,FALSE)*INDEX(Operations!$L$3:$O$132,MATCH(Link!A171,Operations!$A$3:$A$132,0),MATCH(Link!D171,Operations!$L$2:$O$2,0)),0))</f>
        <v>0</v>
      </c>
      <c r="G171" s="29" t="e">
        <f>ROUND((3600*F171/SUMIF($E$2:$E$521,E171,$F$2:$F$521))/VLOOKUP(A171,Operations!$A$3:$F$132,6,FALSE),0)</f>
        <v>#DIV/0!</v>
      </c>
      <c r="H171" s="28" t="e">
        <f t="shared" si="2"/>
        <v>#DIV/0!</v>
      </c>
    </row>
    <row r="172" spans="1:8" x14ac:dyDescent="0.3">
      <c r="A172" s="2" t="s">
        <v>48</v>
      </c>
      <c r="B172" s="8">
        <f>VLOOKUP(A172,Operations!$A$3:$B$132,2,TRUE)</f>
        <v>0</v>
      </c>
      <c r="C172" s="8">
        <f>VLOOKUP(A172,Operations!$A$3:$C$132,3,0)</f>
        <v>0</v>
      </c>
      <c r="D172" s="2" t="s">
        <v>150</v>
      </c>
      <c r="E172" s="2">
        <f>IFERROR(INDEX(Operations!$H$3:$K$132,MATCH(A172,Operations!$A$3:$A$132,0),MATCH(Link!D172,Operations!$H$2:$K$2,0)),"")</f>
        <v>0</v>
      </c>
      <c r="F172" t="b">
        <f>IF(E172&lt;&gt;0,IFERROR(VLOOKUP(A172,Operations!$A$3:$F$132,6,FALSE)*INDEX(Operations!$L$3:$O$132,MATCH(Link!A172,Operations!$A$3:$A$132,0),MATCH(Link!D172,Operations!$L$2:$O$2,0)),0))</f>
        <v>0</v>
      </c>
      <c r="G172" s="29" t="e">
        <f>ROUND((3600*F172/SUMIF($E$2:$E$521,E172,$F$2:$F$521))/VLOOKUP(A172,Operations!$A$3:$F$132,6,FALSE),0)</f>
        <v>#DIV/0!</v>
      </c>
      <c r="H172" s="28" t="e">
        <f t="shared" si="2"/>
        <v>#DIV/0!</v>
      </c>
    </row>
    <row r="173" spans="1:8" x14ac:dyDescent="0.3">
      <c r="A173" s="2" t="s">
        <v>49</v>
      </c>
      <c r="B173" s="8">
        <f>VLOOKUP(A173,Operations!$A$3:$B$132,2,TRUE)</f>
        <v>0</v>
      </c>
      <c r="C173" s="8">
        <f>VLOOKUP(A173,Operations!$A$3:$C$132,3,0)</f>
        <v>0</v>
      </c>
      <c r="D173" s="2" t="s">
        <v>150</v>
      </c>
      <c r="E173" s="2">
        <f>IFERROR(INDEX(Operations!$H$3:$K$132,MATCH(A173,Operations!$A$3:$A$132,0),MATCH(Link!D173,Operations!$H$2:$K$2,0)),"")</f>
        <v>0</v>
      </c>
      <c r="F173" t="b">
        <f>IF(E173&lt;&gt;0,IFERROR(VLOOKUP(A173,Operations!$A$3:$F$132,6,FALSE)*INDEX(Operations!$L$3:$O$132,MATCH(Link!A173,Operations!$A$3:$A$132,0),MATCH(Link!D173,Operations!$L$2:$O$2,0)),0))</f>
        <v>0</v>
      </c>
      <c r="G173" s="29" t="e">
        <f>ROUND((3600*F173/SUMIF($E$2:$E$521,E173,$F$2:$F$521))/VLOOKUP(A173,Operations!$A$3:$F$132,6,FALSE),0)</f>
        <v>#DIV/0!</v>
      </c>
      <c r="H173" s="28" t="e">
        <f t="shared" si="2"/>
        <v>#DIV/0!</v>
      </c>
    </row>
    <row r="174" spans="1:8" x14ac:dyDescent="0.3">
      <c r="A174" s="2" t="s">
        <v>50</v>
      </c>
      <c r="B174" s="8">
        <f>VLOOKUP(A174,Operations!$A$3:$B$132,2,TRUE)</f>
        <v>0</v>
      </c>
      <c r="C174" s="8">
        <f>VLOOKUP(A174,Operations!$A$3:$C$132,3,0)</f>
        <v>0</v>
      </c>
      <c r="D174" s="2" t="s">
        <v>150</v>
      </c>
      <c r="E174" s="2">
        <f>IFERROR(INDEX(Operations!$H$3:$K$132,MATCH(A174,Operations!$A$3:$A$132,0),MATCH(Link!D174,Operations!$H$2:$K$2,0)),"")</f>
        <v>0</v>
      </c>
      <c r="F174" t="b">
        <f>IF(E174&lt;&gt;0,IFERROR(VLOOKUP(A174,Operations!$A$3:$F$132,6,FALSE)*INDEX(Operations!$L$3:$O$132,MATCH(Link!A174,Operations!$A$3:$A$132,0),MATCH(Link!D174,Operations!$L$2:$O$2,0)),0))</f>
        <v>0</v>
      </c>
      <c r="G174" s="29" t="e">
        <f>ROUND((3600*F174/SUMIF($E$2:$E$521,E174,$F$2:$F$521))/VLOOKUP(A174,Operations!$A$3:$F$132,6,FALSE),0)</f>
        <v>#DIV/0!</v>
      </c>
      <c r="H174" s="28" t="e">
        <f t="shared" si="2"/>
        <v>#DIV/0!</v>
      </c>
    </row>
    <row r="175" spans="1:8" x14ac:dyDescent="0.3">
      <c r="A175" s="2" t="s">
        <v>51</v>
      </c>
      <c r="B175" s="8">
        <f>VLOOKUP(A175,Operations!$A$3:$B$132,2,TRUE)</f>
        <v>0</v>
      </c>
      <c r="C175" s="8">
        <f>VLOOKUP(A175,Operations!$A$3:$C$132,3,0)</f>
        <v>0</v>
      </c>
      <c r="D175" s="2" t="s">
        <v>150</v>
      </c>
      <c r="E175" s="2">
        <f>IFERROR(INDEX(Operations!$H$3:$K$132,MATCH(A175,Operations!$A$3:$A$132,0),MATCH(Link!D175,Operations!$H$2:$K$2,0)),"")</f>
        <v>0</v>
      </c>
      <c r="F175" t="b">
        <f>IF(E175&lt;&gt;0,IFERROR(VLOOKUP(A175,Operations!$A$3:$F$132,6,FALSE)*INDEX(Operations!$L$3:$O$132,MATCH(Link!A175,Operations!$A$3:$A$132,0),MATCH(Link!D175,Operations!$L$2:$O$2,0)),0))</f>
        <v>0</v>
      </c>
      <c r="G175" s="29" t="e">
        <f>ROUND((3600*F175/SUMIF($E$2:$E$521,E175,$F$2:$F$521))/VLOOKUP(A175,Operations!$A$3:$F$132,6,FALSE),0)</f>
        <v>#DIV/0!</v>
      </c>
      <c r="H175" s="28" t="e">
        <f t="shared" si="2"/>
        <v>#DIV/0!</v>
      </c>
    </row>
    <row r="176" spans="1:8" x14ac:dyDescent="0.3">
      <c r="A176" s="2" t="s">
        <v>52</v>
      </c>
      <c r="B176" s="8">
        <f>VLOOKUP(A176,Operations!$A$3:$B$132,2,TRUE)</f>
        <v>0</v>
      </c>
      <c r="C176" s="8">
        <f>VLOOKUP(A176,Operations!$A$3:$C$132,3,0)</f>
        <v>0</v>
      </c>
      <c r="D176" s="2" t="s">
        <v>150</v>
      </c>
      <c r="E176" s="2">
        <f>IFERROR(INDEX(Operations!$H$3:$K$132,MATCH(A176,Operations!$A$3:$A$132,0),MATCH(Link!D176,Operations!$H$2:$K$2,0)),"")</f>
        <v>0</v>
      </c>
      <c r="F176" t="b">
        <f>IF(E176&lt;&gt;0,IFERROR(VLOOKUP(A176,Operations!$A$3:$F$132,6,FALSE)*INDEX(Operations!$L$3:$O$132,MATCH(Link!A176,Operations!$A$3:$A$132,0),MATCH(Link!D176,Operations!$L$2:$O$2,0)),0))</f>
        <v>0</v>
      </c>
      <c r="G176" s="29" t="e">
        <f>ROUND((3600*F176/SUMIF($E$2:$E$521,E176,$F$2:$F$521))/VLOOKUP(A176,Operations!$A$3:$F$132,6,FALSE),0)</f>
        <v>#DIV/0!</v>
      </c>
      <c r="H176" s="28" t="e">
        <f t="shared" si="2"/>
        <v>#DIV/0!</v>
      </c>
    </row>
    <row r="177" spans="1:8" x14ac:dyDescent="0.3">
      <c r="A177" s="2" t="s">
        <v>53</v>
      </c>
      <c r="B177" s="8">
        <f>VLOOKUP(A177,Operations!$A$3:$B$132,2,TRUE)</f>
        <v>0</v>
      </c>
      <c r="C177" s="8">
        <f>VLOOKUP(A177,Operations!$A$3:$C$132,3,0)</f>
        <v>0</v>
      </c>
      <c r="D177" s="2" t="s">
        <v>150</v>
      </c>
      <c r="E177" s="2">
        <f>IFERROR(INDEX(Operations!$H$3:$K$132,MATCH(A177,Operations!$A$3:$A$132,0),MATCH(Link!D177,Operations!$H$2:$K$2,0)),"")</f>
        <v>0</v>
      </c>
      <c r="F177" t="b">
        <f>IF(E177&lt;&gt;0,IFERROR(VLOOKUP(A177,Operations!$A$3:$F$132,6,FALSE)*INDEX(Operations!$L$3:$O$132,MATCH(Link!A177,Operations!$A$3:$A$132,0),MATCH(Link!D177,Operations!$L$2:$O$2,0)),0))</f>
        <v>0</v>
      </c>
      <c r="G177" s="29" t="e">
        <f>ROUND((3600*F177/SUMIF($E$2:$E$521,E177,$F$2:$F$521))/VLOOKUP(A177,Operations!$A$3:$F$132,6,FALSE),0)</f>
        <v>#DIV/0!</v>
      </c>
      <c r="H177" s="28" t="e">
        <f t="shared" si="2"/>
        <v>#DIV/0!</v>
      </c>
    </row>
    <row r="178" spans="1:8" x14ac:dyDescent="0.3">
      <c r="A178" s="2" t="s">
        <v>54</v>
      </c>
      <c r="B178" s="8">
        <f>VLOOKUP(A178,Operations!$A$3:$B$132,2,TRUE)</f>
        <v>0</v>
      </c>
      <c r="C178" s="8">
        <f>VLOOKUP(A178,Operations!$A$3:$C$132,3,0)</f>
        <v>0</v>
      </c>
      <c r="D178" s="2" t="s">
        <v>150</v>
      </c>
      <c r="E178" s="2">
        <f>IFERROR(INDEX(Operations!$H$3:$K$132,MATCH(A178,Operations!$A$3:$A$132,0),MATCH(Link!D178,Operations!$H$2:$K$2,0)),"")</f>
        <v>0</v>
      </c>
      <c r="F178" t="b">
        <f>IF(E178&lt;&gt;0,IFERROR(VLOOKUP(A178,Operations!$A$3:$F$132,6,FALSE)*INDEX(Operations!$L$3:$O$132,MATCH(Link!A178,Operations!$A$3:$A$132,0),MATCH(Link!D178,Operations!$L$2:$O$2,0)),0))</f>
        <v>0</v>
      </c>
      <c r="G178" s="29" t="e">
        <f>ROUND((3600*F178/SUMIF($E$2:$E$521,E178,$F$2:$F$521))/VLOOKUP(A178,Operations!$A$3:$F$132,6,FALSE),0)</f>
        <v>#DIV/0!</v>
      </c>
      <c r="H178" s="28" t="e">
        <f t="shared" si="2"/>
        <v>#DIV/0!</v>
      </c>
    </row>
    <row r="179" spans="1:8" x14ac:dyDescent="0.3">
      <c r="A179" s="2" t="s">
        <v>55</v>
      </c>
      <c r="B179" s="8">
        <f>VLOOKUP(A179,Operations!$A$3:$B$132,2,TRUE)</f>
        <v>0</v>
      </c>
      <c r="C179" s="8">
        <f>VLOOKUP(A179,Operations!$A$3:$C$132,3,0)</f>
        <v>0</v>
      </c>
      <c r="D179" s="2" t="s">
        <v>150</v>
      </c>
      <c r="E179" s="2">
        <f>IFERROR(INDEX(Operations!$H$3:$K$132,MATCH(A179,Operations!$A$3:$A$132,0),MATCH(Link!D179,Operations!$H$2:$K$2,0)),"")</f>
        <v>0</v>
      </c>
      <c r="F179" t="b">
        <f>IF(E179&lt;&gt;0,IFERROR(VLOOKUP(A179,Operations!$A$3:$F$132,6,FALSE)*INDEX(Operations!$L$3:$O$132,MATCH(Link!A179,Operations!$A$3:$A$132,0),MATCH(Link!D179,Operations!$L$2:$O$2,0)),0))</f>
        <v>0</v>
      </c>
      <c r="G179" s="29" t="e">
        <f>ROUND((3600*F179/SUMIF($E$2:$E$521,E179,$F$2:$F$521))/VLOOKUP(A179,Operations!$A$3:$F$132,6,FALSE),0)</f>
        <v>#DIV/0!</v>
      </c>
      <c r="H179" s="28" t="e">
        <f t="shared" si="2"/>
        <v>#DIV/0!</v>
      </c>
    </row>
    <row r="180" spans="1:8" x14ac:dyDescent="0.3">
      <c r="A180" s="2" t="s">
        <v>56</v>
      </c>
      <c r="B180" s="8">
        <f>VLOOKUP(A180,Operations!$A$3:$B$132,2,TRUE)</f>
        <v>0</v>
      </c>
      <c r="C180" s="8">
        <f>VLOOKUP(A180,Operations!$A$3:$C$132,3,0)</f>
        <v>0</v>
      </c>
      <c r="D180" s="2" t="s">
        <v>150</v>
      </c>
      <c r="E180" s="2">
        <f>IFERROR(INDEX(Operations!$H$3:$K$132,MATCH(A180,Operations!$A$3:$A$132,0),MATCH(Link!D180,Operations!$H$2:$K$2,0)),"")</f>
        <v>0</v>
      </c>
      <c r="F180" t="b">
        <f>IF(E180&lt;&gt;0,IFERROR(VLOOKUP(A180,Operations!$A$3:$F$132,6,FALSE)*INDEX(Operations!$L$3:$O$132,MATCH(Link!A180,Operations!$A$3:$A$132,0),MATCH(Link!D180,Operations!$L$2:$O$2,0)),0))</f>
        <v>0</v>
      </c>
      <c r="G180" s="29" t="e">
        <f>ROUND((3600*F180/SUMIF($E$2:$E$521,E180,$F$2:$F$521))/VLOOKUP(A180,Operations!$A$3:$F$132,6,FALSE),0)</f>
        <v>#DIV/0!</v>
      </c>
      <c r="H180" s="28" t="e">
        <f t="shared" si="2"/>
        <v>#DIV/0!</v>
      </c>
    </row>
    <row r="181" spans="1:8" x14ac:dyDescent="0.3">
      <c r="A181" s="2" t="s">
        <v>57</v>
      </c>
      <c r="B181" s="8">
        <f>VLOOKUP(A181,Operations!$A$3:$B$132,2,TRUE)</f>
        <v>0</v>
      </c>
      <c r="C181" s="8">
        <f>VLOOKUP(A181,Operations!$A$3:$C$132,3,0)</f>
        <v>0</v>
      </c>
      <c r="D181" s="2" t="s">
        <v>150</v>
      </c>
      <c r="E181" s="2">
        <f>IFERROR(INDEX(Operations!$H$3:$K$132,MATCH(A181,Operations!$A$3:$A$132,0),MATCH(Link!D181,Operations!$H$2:$K$2,0)),"")</f>
        <v>0</v>
      </c>
      <c r="F181" t="b">
        <f>IF(E181&lt;&gt;0,IFERROR(VLOOKUP(A181,Operations!$A$3:$F$132,6,FALSE)*INDEX(Operations!$L$3:$O$132,MATCH(Link!A181,Operations!$A$3:$A$132,0),MATCH(Link!D181,Operations!$L$2:$O$2,0)),0))</f>
        <v>0</v>
      </c>
      <c r="G181" s="29" t="e">
        <f>ROUND((3600*F181/SUMIF($E$2:$E$521,E181,$F$2:$F$521))/VLOOKUP(A181,Operations!$A$3:$F$132,6,FALSE),0)</f>
        <v>#DIV/0!</v>
      </c>
      <c r="H181" s="28" t="e">
        <f t="shared" si="2"/>
        <v>#DIV/0!</v>
      </c>
    </row>
    <row r="182" spans="1:8" x14ac:dyDescent="0.3">
      <c r="A182" s="2" t="s">
        <v>58</v>
      </c>
      <c r="B182" s="8">
        <f>VLOOKUP(A182,Operations!$A$3:$B$132,2,TRUE)</f>
        <v>0</v>
      </c>
      <c r="C182" s="8">
        <f>VLOOKUP(A182,Operations!$A$3:$C$132,3,0)</f>
        <v>0</v>
      </c>
      <c r="D182" s="2" t="s">
        <v>150</v>
      </c>
      <c r="E182" s="2">
        <f>IFERROR(INDEX(Operations!$H$3:$K$132,MATCH(A182,Operations!$A$3:$A$132,0),MATCH(Link!D182,Operations!$H$2:$K$2,0)),"")</f>
        <v>0</v>
      </c>
      <c r="F182" t="b">
        <f>IF(E182&lt;&gt;0,IFERROR(VLOOKUP(A182,Operations!$A$3:$F$132,6,FALSE)*INDEX(Operations!$L$3:$O$132,MATCH(Link!A182,Operations!$A$3:$A$132,0),MATCH(Link!D182,Operations!$L$2:$O$2,0)),0))</f>
        <v>0</v>
      </c>
      <c r="G182" s="29" t="e">
        <f>ROUND((3600*F182/SUMIF($E$2:$E$521,E182,$F$2:$F$521))/VLOOKUP(A182,Operations!$A$3:$F$132,6,FALSE),0)</f>
        <v>#DIV/0!</v>
      </c>
      <c r="H182" s="28" t="e">
        <f t="shared" si="2"/>
        <v>#DIV/0!</v>
      </c>
    </row>
    <row r="183" spans="1:8" x14ac:dyDescent="0.3">
      <c r="A183" s="2" t="s">
        <v>59</v>
      </c>
      <c r="B183" s="8">
        <f>VLOOKUP(A183,Operations!$A$3:$B$132,2,TRUE)</f>
        <v>0</v>
      </c>
      <c r="C183" s="8">
        <f>VLOOKUP(A183,Operations!$A$3:$C$132,3,0)</f>
        <v>0</v>
      </c>
      <c r="D183" s="2" t="s">
        <v>150</v>
      </c>
      <c r="E183" s="2">
        <f>IFERROR(INDEX(Operations!$H$3:$K$132,MATCH(A183,Operations!$A$3:$A$132,0),MATCH(Link!D183,Operations!$H$2:$K$2,0)),"")</f>
        <v>0</v>
      </c>
      <c r="F183" t="b">
        <f>IF(E183&lt;&gt;0,IFERROR(VLOOKUP(A183,Operations!$A$3:$F$132,6,FALSE)*INDEX(Operations!$L$3:$O$132,MATCH(Link!A183,Operations!$A$3:$A$132,0),MATCH(Link!D183,Operations!$L$2:$O$2,0)),0))</f>
        <v>0</v>
      </c>
      <c r="G183" s="29" t="e">
        <f>ROUND((3600*F183/SUMIF($E$2:$E$521,E183,$F$2:$F$521))/VLOOKUP(A183,Operations!$A$3:$F$132,6,FALSE),0)</f>
        <v>#DIV/0!</v>
      </c>
      <c r="H183" s="28" t="e">
        <f t="shared" si="2"/>
        <v>#DIV/0!</v>
      </c>
    </row>
    <row r="184" spans="1:8" x14ac:dyDescent="0.3">
      <c r="A184" s="2" t="s">
        <v>60</v>
      </c>
      <c r="B184" s="8">
        <f>VLOOKUP(A184,Operations!$A$3:$B$132,2,TRUE)</f>
        <v>0</v>
      </c>
      <c r="C184" s="8">
        <f>VLOOKUP(A184,Operations!$A$3:$C$132,3,0)</f>
        <v>0</v>
      </c>
      <c r="D184" s="2" t="s">
        <v>150</v>
      </c>
      <c r="E184" s="2">
        <f>IFERROR(INDEX(Operations!$H$3:$K$132,MATCH(A184,Operations!$A$3:$A$132,0),MATCH(Link!D184,Operations!$H$2:$K$2,0)),"")</f>
        <v>0</v>
      </c>
      <c r="F184" t="b">
        <f>IF(E184&lt;&gt;0,IFERROR(VLOOKUP(A184,Operations!$A$3:$F$132,6,FALSE)*INDEX(Operations!$L$3:$O$132,MATCH(Link!A184,Operations!$A$3:$A$132,0),MATCH(Link!D184,Operations!$L$2:$O$2,0)),0))</f>
        <v>0</v>
      </c>
      <c r="G184" s="29" t="e">
        <f>ROUND((3600*F184/SUMIF($E$2:$E$521,E184,$F$2:$F$521))/VLOOKUP(A184,Operations!$A$3:$F$132,6,FALSE),0)</f>
        <v>#DIV/0!</v>
      </c>
      <c r="H184" s="28" t="e">
        <f t="shared" si="2"/>
        <v>#DIV/0!</v>
      </c>
    </row>
    <row r="185" spans="1:8" x14ac:dyDescent="0.3">
      <c r="A185" s="2" t="s">
        <v>61</v>
      </c>
      <c r="B185" s="8">
        <f>VLOOKUP(A185,Operations!$A$3:$B$132,2,TRUE)</f>
        <v>0</v>
      </c>
      <c r="C185" s="8">
        <f>VLOOKUP(A185,Operations!$A$3:$C$132,3,0)</f>
        <v>0</v>
      </c>
      <c r="D185" s="2" t="s">
        <v>150</v>
      </c>
      <c r="E185" s="2">
        <f>IFERROR(INDEX(Operations!$H$3:$K$132,MATCH(A185,Operations!$A$3:$A$132,0),MATCH(Link!D185,Operations!$H$2:$K$2,0)),"")</f>
        <v>0</v>
      </c>
      <c r="F185" t="b">
        <f>IF(E185&lt;&gt;0,IFERROR(VLOOKUP(A185,Operations!$A$3:$F$132,6,FALSE)*INDEX(Operations!$L$3:$O$132,MATCH(Link!A185,Operations!$A$3:$A$132,0),MATCH(Link!D185,Operations!$L$2:$O$2,0)),0))</f>
        <v>0</v>
      </c>
      <c r="G185" s="29" t="e">
        <f>ROUND((3600*F185/SUMIF($E$2:$E$521,E185,$F$2:$F$521))/VLOOKUP(A185,Operations!$A$3:$F$132,6,FALSE),0)</f>
        <v>#DIV/0!</v>
      </c>
      <c r="H185" s="28" t="e">
        <f t="shared" si="2"/>
        <v>#DIV/0!</v>
      </c>
    </row>
    <row r="186" spans="1:8" x14ac:dyDescent="0.3">
      <c r="A186" s="2" t="s">
        <v>62</v>
      </c>
      <c r="B186" s="8">
        <f>VLOOKUP(A186,Operations!$A$3:$B$132,2,TRUE)</f>
        <v>0</v>
      </c>
      <c r="C186" s="8">
        <f>VLOOKUP(A186,Operations!$A$3:$C$132,3,0)</f>
        <v>0</v>
      </c>
      <c r="D186" s="2" t="s">
        <v>150</v>
      </c>
      <c r="E186" s="2">
        <f>IFERROR(INDEX(Operations!$H$3:$K$132,MATCH(A186,Operations!$A$3:$A$132,0),MATCH(Link!D186,Operations!$H$2:$K$2,0)),"")</f>
        <v>0</v>
      </c>
      <c r="F186" t="b">
        <f>IF(E186&lt;&gt;0,IFERROR(VLOOKUP(A186,Operations!$A$3:$F$132,6,FALSE)*INDEX(Operations!$L$3:$O$132,MATCH(Link!A186,Operations!$A$3:$A$132,0),MATCH(Link!D186,Operations!$L$2:$O$2,0)),0))</f>
        <v>0</v>
      </c>
      <c r="G186" s="29" t="e">
        <f>ROUND((3600*F186/SUMIF($E$2:$E$521,E186,$F$2:$F$521))/VLOOKUP(A186,Operations!$A$3:$F$132,6,FALSE),0)</f>
        <v>#DIV/0!</v>
      </c>
      <c r="H186" s="28" t="e">
        <f t="shared" si="2"/>
        <v>#DIV/0!</v>
      </c>
    </row>
    <row r="187" spans="1:8" x14ac:dyDescent="0.3">
      <c r="A187" s="2" t="s">
        <v>63</v>
      </c>
      <c r="B187" s="8">
        <f>VLOOKUP(A187,Operations!$A$3:$B$132,2,TRUE)</f>
        <v>0</v>
      </c>
      <c r="C187" s="8">
        <f>VLOOKUP(A187,Operations!$A$3:$C$132,3,0)</f>
        <v>0</v>
      </c>
      <c r="D187" s="2" t="s">
        <v>150</v>
      </c>
      <c r="E187" s="2">
        <f>IFERROR(INDEX(Operations!$H$3:$K$132,MATCH(A187,Operations!$A$3:$A$132,0),MATCH(Link!D187,Operations!$H$2:$K$2,0)),"")</f>
        <v>0</v>
      </c>
      <c r="F187" t="b">
        <f>IF(E187&lt;&gt;0,IFERROR(VLOOKUP(A187,Operations!$A$3:$F$132,6,FALSE)*INDEX(Operations!$L$3:$O$132,MATCH(Link!A187,Operations!$A$3:$A$132,0),MATCH(Link!D187,Operations!$L$2:$O$2,0)),0))</f>
        <v>0</v>
      </c>
      <c r="G187" s="29" t="e">
        <f>ROUND((3600*F187/SUMIF($E$2:$E$521,E187,$F$2:$F$521))/VLOOKUP(A187,Operations!$A$3:$F$132,6,FALSE),0)</f>
        <v>#DIV/0!</v>
      </c>
      <c r="H187" s="28" t="e">
        <f t="shared" si="2"/>
        <v>#DIV/0!</v>
      </c>
    </row>
    <row r="188" spans="1:8" x14ac:dyDescent="0.3">
      <c r="A188" s="2" t="s">
        <v>64</v>
      </c>
      <c r="B188" s="8">
        <f>VLOOKUP(A188,Operations!$A$3:$B$132,2,TRUE)</f>
        <v>0</v>
      </c>
      <c r="C188" s="8">
        <f>VLOOKUP(A188,Operations!$A$3:$C$132,3,0)</f>
        <v>0</v>
      </c>
      <c r="D188" s="2" t="s">
        <v>150</v>
      </c>
      <c r="E188" s="2">
        <f>IFERROR(INDEX(Operations!$H$3:$K$132,MATCH(A188,Operations!$A$3:$A$132,0),MATCH(Link!D188,Operations!$H$2:$K$2,0)),"")</f>
        <v>0</v>
      </c>
      <c r="F188" t="b">
        <f>IF(E188&lt;&gt;0,IFERROR(VLOOKUP(A188,Operations!$A$3:$F$132,6,FALSE)*INDEX(Operations!$L$3:$O$132,MATCH(Link!A188,Operations!$A$3:$A$132,0),MATCH(Link!D188,Operations!$L$2:$O$2,0)),0))</f>
        <v>0</v>
      </c>
      <c r="G188" s="29" t="e">
        <f>ROUND((3600*F188/SUMIF($E$2:$E$521,E188,$F$2:$F$521))/VLOOKUP(A188,Operations!$A$3:$F$132,6,FALSE),0)</f>
        <v>#DIV/0!</v>
      </c>
      <c r="H188" s="28" t="e">
        <f t="shared" si="2"/>
        <v>#DIV/0!</v>
      </c>
    </row>
    <row r="189" spans="1:8" x14ac:dyDescent="0.3">
      <c r="A189" s="2" t="s">
        <v>65</v>
      </c>
      <c r="B189" s="8">
        <f>VLOOKUP(A189,Operations!$A$3:$B$132,2,TRUE)</f>
        <v>0</v>
      </c>
      <c r="C189" s="8">
        <f>VLOOKUP(A189,Operations!$A$3:$C$132,3,0)</f>
        <v>0</v>
      </c>
      <c r="D189" s="2" t="s">
        <v>150</v>
      </c>
      <c r="E189" s="2">
        <f>IFERROR(INDEX(Operations!$H$3:$K$132,MATCH(A189,Operations!$A$3:$A$132,0),MATCH(Link!D189,Operations!$H$2:$K$2,0)),"")</f>
        <v>0</v>
      </c>
      <c r="F189" t="b">
        <f>IF(E189&lt;&gt;0,IFERROR(VLOOKUP(A189,Operations!$A$3:$F$132,6,FALSE)*INDEX(Operations!$L$3:$O$132,MATCH(Link!A189,Operations!$A$3:$A$132,0),MATCH(Link!D189,Operations!$L$2:$O$2,0)),0))</f>
        <v>0</v>
      </c>
      <c r="G189" s="29" t="e">
        <f>ROUND((3600*F189/SUMIF($E$2:$E$521,E189,$F$2:$F$521))/VLOOKUP(A189,Operations!$A$3:$F$132,6,FALSE),0)</f>
        <v>#DIV/0!</v>
      </c>
      <c r="H189" s="28" t="e">
        <f t="shared" si="2"/>
        <v>#DIV/0!</v>
      </c>
    </row>
    <row r="190" spans="1:8" x14ac:dyDescent="0.3">
      <c r="A190" s="2" t="s">
        <v>66</v>
      </c>
      <c r="B190" s="8">
        <f>VLOOKUP(A190,Operations!$A$3:$B$132,2,TRUE)</f>
        <v>0</v>
      </c>
      <c r="C190" s="8">
        <f>VLOOKUP(A190,Operations!$A$3:$C$132,3,0)</f>
        <v>0</v>
      </c>
      <c r="D190" s="2" t="s">
        <v>150</v>
      </c>
      <c r="E190" s="2">
        <f>IFERROR(INDEX(Operations!$H$3:$K$132,MATCH(A190,Operations!$A$3:$A$132,0),MATCH(Link!D190,Operations!$H$2:$K$2,0)),"")</f>
        <v>0</v>
      </c>
      <c r="F190" t="b">
        <f>IF(E190&lt;&gt;0,IFERROR(VLOOKUP(A190,Operations!$A$3:$F$132,6,FALSE)*INDEX(Operations!$L$3:$O$132,MATCH(Link!A190,Operations!$A$3:$A$132,0),MATCH(Link!D190,Operations!$L$2:$O$2,0)),0))</f>
        <v>0</v>
      </c>
      <c r="G190" s="29" t="e">
        <f>ROUND((3600*F190/SUMIF($E$2:$E$521,E190,$F$2:$F$521))/VLOOKUP(A190,Operations!$A$3:$F$132,6,FALSE),0)</f>
        <v>#DIV/0!</v>
      </c>
      <c r="H190" s="28" t="e">
        <f t="shared" si="2"/>
        <v>#DIV/0!</v>
      </c>
    </row>
    <row r="191" spans="1:8" x14ac:dyDescent="0.3">
      <c r="A191" s="2" t="s">
        <v>67</v>
      </c>
      <c r="B191" s="8">
        <f>VLOOKUP(A191,Operations!$A$3:$B$132,2,TRUE)</f>
        <v>0</v>
      </c>
      <c r="C191" s="8">
        <f>VLOOKUP(A191,Operations!$A$3:$C$132,3,0)</f>
        <v>0</v>
      </c>
      <c r="D191" s="2" t="s">
        <v>150</v>
      </c>
      <c r="E191" s="2">
        <f>IFERROR(INDEX(Operations!$H$3:$K$132,MATCH(A191,Operations!$A$3:$A$132,0),MATCH(Link!D191,Operations!$H$2:$K$2,0)),"")</f>
        <v>0</v>
      </c>
      <c r="F191" t="b">
        <f>IF(E191&lt;&gt;0,IFERROR(VLOOKUP(A191,Operations!$A$3:$F$132,6,FALSE)*INDEX(Operations!$L$3:$O$132,MATCH(Link!A191,Operations!$A$3:$A$132,0),MATCH(Link!D191,Operations!$L$2:$O$2,0)),0))</f>
        <v>0</v>
      </c>
      <c r="G191" s="29" t="e">
        <f>ROUND((3600*F191/SUMIF($E$2:$E$521,E191,$F$2:$F$521))/VLOOKUP(A191,Operations!$A$3:$F$132,6,FALSE),0)</f>
        <v>#DIV/0!</v>
      </c>
      <c r="H191" s="28" t="e">
        <f t="shared" si="2"/>
        <v>#DIV/0!</v>
      </c>
    </row>
    <row r="192" spans="1:8" x14ac:dyDescent="0.3">
      <c r="A192" s="2" t="s">
        <v>68</v>
      </c>
      <c r="B192" s="8">
        <f>VLOOKUP(A192,Operations!$A$3:$B$132,2,TRUE)</f>
        <v>0</v>
      </c>
      <c r="C192" s="8">
        <f>VLOOKUP(A192,Operations!$A$3:$C$132,3,0)</f>
        <v>0</v>
      </c>
      <c r="D192" s="2" t="s">
        <v>150</v>
      </c>
      <c r="E192" s="2">
        <f>IFERROR(INDEX(Operations!$H$3:$K$132,MATCH(A192,Operations!$A$3:$A$132,0),MATCH(Link!D192,Operations!$H$2:$K$2,0)),"")</f>
        <v>0</v>
      </c>
      <c r="F192" t="b">
        <f>IF(E192&lt;&gt;0,IFERROR(VLOOKUP(A192,Operations!$A$3:$F$132,6,FALSE)*INDEX(Operations!$L$3:$O$132,MATCH(Link!A192,Operations!$A$3:$A$132,0),MATCH(Link!D192,Operations!$L$2:$O$2,0)),0))</f>
        <v>0</v>
      </c>
      <c r="G192" s="29" t="e">
        <f>ROUND((3600*F192/SUMIF($E$2:$E$521,E192,$F$2:$F$521))/VLOOKUP(A192,Operations!$A$3:$F$132,6,FALSE),0)</f>
        <v>#DIV/0!</v>
      </c>
      <c r="H192" s="28" t="e">
        <f t="shared" si="2"/>
        <v>#DIV/0!</v>
      </c>
    </row>
    <row r="193" spans="1:8" x14ac:dyDescent="0.3">
      <c r="A193" s="2" t="s">
        <v>69</v>
      </c>
      <c r="B193" s="8">
        <f>VLOOKUP(A193,Operations!$A$3:$B$132,2,TRUE)</f>
        <v>0</v>
      </c>
      <c r="C193" s="8">
        <f>VLOOKUP(A193,Operations!$A$3:$C$132,3,0)</f>
        <v>0</v>
      </c>
      <c r="D193" s="2" t="s">
        <v>150</v>
      </c>
      <c r="E193" s="2">
        <f>IFERROR(INDEX(Operations!$H$3:$K$132,MATCH(A193,Operations!$A$3:$A$132,0),MATCH(Link!D193,Operations!$H$2:$K$2,0)),"")</f>
        <v>0</v>
      </c>
      <c r="F193" t="b">
        <f>IF(E193&lt;&gt;0,IFERROR(VLOOKUP(A193,Operations!$A$3:$F$132,6,FALSE)*INDEX(Operations!$L$3:$O$132,MATCH(Link!A193,Operations!$A$3:$A$132,0),MATCH(Link!D193,Operations!$L$2:$O$2,0)),0))</f>
        <v>0</v>
      </c>
      <c r="G193" s="29" t="e">
        <f>ROUND((3600*F193/SUMIF($E$2:$E$521,E193,$F$2:$F$521))/VLOOKUP(A193,Operations!$A$3:$F$132,6,FALSE),0)</f>
        <v>#DIV/0!</v>
      </c>
      <c r="H193" s="28" t="e">
        <f t="shared" si="2"/>
        <v>#DIV/0!</v>
      </c>
    </row>
    <row r="194" spans="1:8" x14ac:dyDescent="0.3">
      <c r="A194" s="2" t="s">
        <v>70</v>
      </c>
      <c r="B194" s="8">
        <f>VLOOKUP(A194,Operations!$A$3:$B$132,2,TRUE)</f>
        <v>0</v>
      </c>
      <c r="C194" s="8">
        <f>VLOOKUP(A194,Operations!$A$3:$C$132,3,0)</f>
        <v>0</v>
      </c>
      <c r="D194" s="2" t="s">
        <v>150</v>
      </c>
      <c r="E194" s="2">
        <f>IFERROR(INDEX(Operations!$H$3:$K$132,MATCH(A194,Operations!$A$3:$A$132,0),MATCH(Link!D194,Operations!$H$2:$K$2,0)),"")</f>
        <v>0</v>
      </c>
      <c r="F194" t="b">
        <f>IF(E194&lt;&gt;0,IFERROR(VLOOKUP(A194,Operations!$A$3:$F$132,6,FALSE)*INDEX(Operations!$L$3:$O$132,MATCH(Link!A194,Operations!$A$3:$A$132,0),MATCH(Link!D194,Operations!$L$2:$O$2,0)),0))</f>
        <v>0</v>
      </c>
      <c r="G194" s="29" t="e">
        <f>ROUND((3600*F194/SUMIF($E$2:$E$521,E194,$F$2:$F$521))/VLOOKUP(A194,Operations!$A$3:$F$132,6,FALSE),0)</f>
        <v>#DIV/0!</v>
      </c>
      <c r="H194" s="28" t="e">
        <f t="shared" si="2"/>
        <v>#DIV/0!</v>
      </c>
    </row>
    <row r="195" spans="1:8" x14ac:dyDescent="0.3">
      <c r="A195" s="2" t="s">
        <v>71</v>
      </c>
      <c r="B195" s="8">
        <f>VLOOKUP(A195,Operations!$A$3:$B$132,2,TRUE)</f>
        <v>0</v>
      </c>
      <c r="C195" s="8">
        <f>VLOOKUP(A195,Operations!$A$3:$C$132,3,0)</f>
        <v>0</v>
      </c>
      <c r="D195" s="2" t="s">
        <v>150</v>
      </c>
      <c r="E195" s="2">
        <f>IFERROR(INDEX(Operations!$H$3:$K$132,MATCH(A195,Operations!$A$3:$A$132,0),MATCH(Link!D195,Operations!$H$2:$K$2,0)),"")</f>
        <v>0</v>
      </c>
      <c r="F195" t="b">
        <f>IF(E195&lt;&gt;0,IFERROR(VLOOKUP(A195,Operations!$A$3:$F$132,6,FALSE)*INDEX(Operations!$L$3:$O$132,MATCH(Link!A195,Operations!$A$3:$A$132,0),MATCH(Link!D195,Operations!$L$2:$O$2,0)),0))</f>
        <v>0</v>
      </c>
      <c r="G195" s="29" t="e">
        <f>ROUND((3600*F195/SUMIF($E$2:$E$521,E195,$F$2:$F$521))/VLOOKUP(A195,Operations!$A$3:$F$132,6,FALSE),0)</f>
        <v>#DIV/0!</v>
      </c>
      <c r="H195" s="28" t="e">
        <f t="shared" ref="H195:H258" si="3">C195&amp;":"&amp;" "&amp;G195</f>
        <v>#DIV/0!</v>
      </c>
    </row>
    <row r="196" spans="1:8" x14ac:dyDescent="0.3">
      <c r="A196" s="2" t="s">
        <v>72</v>
      </c>
      <c r="B196" s="8">
        <f>VLOOKUP(A196,Operations!$A$3:$B$132,2,TRUE)</f>
        <v>0</v>
      </c>
      <c r="C196" s="8">
        <f>VLOOKUP(A196,Operations!$A$3:$C$132,3,0)</f>
        <v>0</v>
      </c>
      <c r="D196" s="2" t="s">
        <v>150</v>
      </c>
      <c r="E196" s="2">
        <f>IFERROR(INDEX(Operations!$H$3:$K$132,MATCH(A196,Operations!$A$3:$A$132,0),MATCH(Link!D196,Operations!$H$2:$K$2,0)),"")</f>
        <v>0</v>
      </c>
      <c r="F196" t="b">
        <f>IF(E196&lt;&gt;0,IFERROR(VLOOKUP(A196,Operations!$A$3:$F$132,6,FALSE)*INDEX(Operations!$L$3:$O$132,MATCH(Link!A196,Operations!$A$3:$A$132,0),MATCH(Link!D196,Operations!$L$2:$O$2,0)),0))</f>
        <v>0</v>
      </c>
      <c r="G196" s="29" t="e">
        <f>ROUND((3600*F196/SUMIF($E$2:$E$521,E196,$F$2:$F$521))/VLOOKUP(A196,Operations!$A$3:$F$132,6,FALSE),0)</f>
        <v>#DIV/0!</v>
      </c>
      <c r="H196" s="28" t="e">
        <f t="shared" si="3"/>
        <v>#DIV/0!</v>
      </c>
    </row>
    <row r="197" spans="1:8" x14ac:dyDescent="0.3">
      <c r="A197" s="2" t="s">
        <v>73</v>
      </c>
      <c r="B197" s="8">
        <f>VLOOKUP(A197,Operations!$A$3:$B$132,2,TRUE)</f>
        <v>0</v>
      </c>
      <c r="C197" s="8">
        <f>VLOOKUP(A197,Operations!$A$3:$C$132,3,0)</f>
        <v>0</v>
      </c>
      <c r="D197" s="2" t="s">
        <v>150</v>
      </c>
      <c r="E197" s="2">
        <f>IFERROR(INDEX(Operations!$H$3:$K$132,MATCH(A197,Operations!$A$3:$A$132,0),MATCH(Link!D197,Operations!$H$2:$K$2,0)),"")</f>
        <v>0</v>
      </c>
      <c r="F197" t="b">
        <f>IF(E197&lt;&gt;0,IFERROR(VLOOKUP(A197,Operations!$A$3:$F$132,6,FALSE)*INDEX(Operations!$L$3:$O$132,MATCH(Link!A197,Operations!$A$3:$A$132,0),MATCH(Link!D197,Operations!$L$2:$O$2,0)),0))</f>
        <v>0</v>
      </c>
      <c r="G197" s="29" t="e">
        <f>ROUND((3600*F197/SUMIF($E$2:$E$521,E197,$F$2:$F$521))/VLOOKUP(A197,Operations!$A$3:$F$132,6,FALSE),0)</f>
        <v>#DIV/0!</v>
      </c>
      <c r="H197" s="28" t="e">
        <f t="shared" si="3"/>
        <v>#DIV/0!</v>
      </c>
    </row>
    <row r="198" spans="1:8" x14ac:dyDescent="0.3">
      <c r="A198" s="2" t="s">
        <v>74</v>
      </c>
      <c r="B198" s="8">
        <f>VLOOKUP(A198,Operations!$A$3:$B$132,2,TRUE)</f>
        <v>0</v>
      </c>
      <c r="C198" s="8">
        <f>VLOOKUP(A198,Operations!$A$3:$C$132,3,0)</f>
        <v>0</v>
      </c>
      <c r="D198" s="2" t="s">
        <v>150</v>
      </c>
      <c r="E198" s="2">
        <f>IFERROR(INDEX(Operations!$H$3:$K$132,MATCH(A198,Operations!$A$3:$A$132,0),MATCH(Link!D198,Operations!$H$2:$K$2,0)),"")</f>
        <v>0</v>
      </c>
      <c r="F198" t="b">
        <f>IF(E198&lt;&gt;0,IFERROR(VLOOKUP(A198,Operations!$A$3:$F$132,6,FALSE)*INDEX(Operations!$L$3:$O$132,MATCH(Link!A198,Operations!$A$3:$A$132,0),MATCH(Link!D198,Operations!$L$2:$O$2,0)),0))</f>
        <v>0</v>
      </c>
      <c r="G198" s="29" t="e">
        <f>ROUND((3600*F198/SUMIF($E$2:$E$521,E198,$F$2:$F$521))/VLOOKUP(A198,Operations!$A$3:$F$132,6,FALSE),0)</f>
        <v>#DIV/0!</v>
      </c>
      <c r="H198" s="28" t="e">
        <f t="shared" si="3"/>
        <v>#DIV/0!</v>
      </c>
    </row>
    <row r="199" spans="1:8" x14ac:dyDescent="0.3">
      <c r="A199" s="2" t="s">
        <v>75</v>
      </c>
      <c r="B199" s="8">
        <f>VLOOKUP(A199,Operations!$A$3:$B$132,2,TRUE)</f>
        <v>0</v>
      </c>
      <c r="C199" s="8">
        <f>VLOOKUP(A199,Operations!$A$3:$C$132,3,0)</f>
        <v>0</v>
      </c>
      <c r="D199" s="2" t="s">
        <v>150</v>
      </c>
      <c r="E199" s="2">
        <f>IFERROR(INDEX(Operations!$H$3:$K$132,MATCH(A199,Operations!$A$3:$A$132,0),MATCH(Link!D199,Operations!$H$2:$K$2,0)),"")</f>
        <v>0</v>
      </c>
      <c r="F199" t="b">
        <f>IF(E199&lt;&gt;0,IFERROR(VLOOKUP(A199,Operations!$A$3:$F$132,6,FALSE)*INDEX(Operations!$L$3:$O$132,MATCH(Link!A199,Operations!$A$3:$A$132,0),MATCH(Link!D199,Operations!$L$2:$O$2,0)),0))</f>
        <v>0</v>
      </c>
      <c r="G199" s="29" t="e">
        <f>ROUND((3600*F199/SUMIF($E$2:$E$521,E199,$F$2:$F$521))/VLOOKUP(A199,Operations!$A$3:$F$132,6,FALSE),0)</f>
        <v>#DIV/0!</v>
      </c>
      <c r="H199" s="28" t="e">
        <f t="shared" si="3"/>
        <v>#DIV/0!</v>
      </c>
    </row>
    <row r="200" spans="1:8" x14ac:dyDescent="0.3">
      <c r="A200" s="2" t="s">
        <v>76</v>
      </c>
      <c r="B200" s="8">
        <f>VLOOKUP(A200,Operations!$A$3:$B$132,2,TRUE)</f>
        <v>0</v>
      </c>
      <c r="C200" s="8">
        <f>VLOOKUP(A200,Operations!$A$3:$C$132,3,0)</f>
        <v>0</v>
      </c>
      <c r="D200" s="2" t="s">
        <v>150</v>
      </c>
      <c r="E200" s="2">
        <f>IFERROR(INDEX(Operations!$H$3:$K$132,MATCH(A200,Operations!$A$3:$A$132,0),MATCH(Link!D200,Operations!$H$2:$K$2,0)),"")</f>
        <v>0</v>
      </c>
      <c r="F200" t="b">
        <f>IF(E200&lt;&gt;0,IFERROR(VLOOKUP(A200,Operations!$A$3:$F$132,6,FALSE)*INDEX(Operations!$L$3:$O$132,MATCH(Link!A200,Operations!$A$3:$A$132,0),MATCH(Link!D200,Operations!$L$2:$O$2,0)),0))</f>
        <v>0</v>
      </c>
      <c r="G200" s="29" t="e">
        <f>ROUND((3600*F200/SUMIF($E$2:$E$521,E200,$F$2:$F$521))/VLOOKUP(A200,Operations!$A$3:$F$132,6,FALSE),0)</f>
        <v>#DIV/0!</v>
      </c>
      <c r="H200" s="28" t="e">
        <f t="shared" si="3"/>
        <v>#DIV/0!</v>
      </c>
    </row>
    <row r="201" spans="1:8" x14ac:dyDescent="0.3">
      <c r="A201" s="2" t="s">
        <v>77</v>
      </c>
      <c r="B201" s="8">
        <f>VLOOKUP(A201,Operations!$A$3:$B$132,2,TRUE)</f>
        <v>0</v>
      </c>
      <c r="C201" s="8">
        <f>VLOOKUP(A201,Operations!$A$3:$C$132,3,0)</f>
        <v>0</v>
      </c>
      <c r="D201" s="2" t="s">
        <v>150</v>
      </c>
      <c r="E201" s="2">
        <f>IFERROR(INDEX(Operations!$H$3:$K$132,MATCH(A201,Operations!$A$3:$A$132,0),MATCH(Link!D201,Operations!$H$2:$K$2,0)),"")</f>
        <v>0</v>
      </c>
      <c r="F201" t="b">
        <f>IF(E201&lt;&gt;0,IFERROR(VLOOKUP(A201,Operations!$A$3:$F$132,6,FALSE)*INDEX(Operations!$L$3:$O$132,MATCH(Link!A201,Operations!$A$3:$A$132,0),MATCH(Link!D201,Operations!$L$2:$O$2,0)),0))</f>
        <v>0</v>
      </c>
      <c r="G201" s="29" t="e">
        <f>ROUND((3600*F201/SUMIF($E$2:$E$521,E201,$F$2:$F$521))/VLOOKUP(A201,Operations!$A$3:$F$132,6,FALSE),0)</f>
        <v>#DIV/0!</v>
      </c>
      <c r="H201" s="28" t="e">
        <f t="shared" si="3"/>
        <v>#DIV/0!</v>
      </c>
    </row>
    <row r="202" spans="1:8" x14ac:dyDescent="0.3">
      <c r="A202" s="2" t="s">
        <v>78</v>
      </c>
      <c r="B202" s="8">
        <f>VLOOKUP(A202,Operations!$A$3:$B$132,2,TRUE)</f>
        <v>0</v>
      </c>
      <c r="C202" s="8">
        <f>VLOOKUP(A202,Operations!$A$3:$C$132,3,0)</f>
        <v>0</v>
      </c>
      <c r="D202" s="2" t="s">
        <v>150</v>
      </c>
      <c r="E202" s="2">
        <f>IFERROR(INDEX(Operations!$H$3:$K$132,MATCH(A202,Operations!$A$3:$A$132,0),MATCH(Link!D202,Operations!$H$2:$K$2,0)),"")</f>
        <v>0</v>
      </c>
      <c r="F202" t="b">
        <f>IF(E202&lt;&gt;0,IFERROR(VLOOKUP(A202,Operations!$A$3:$F$132,6,FALSE)*INDEX(Operations!$L$3:$O$132,MATCH(Link!A202,Operations!$A$3:$A$132,0),MATCH(Link!D202,Operations!$L$2:$O$2,0)),0))</f>
        <v>0</v>
      </c>
      <c r="G202" s="29" t="e">
        <f>ROUND((3600*F202/SUMIF($E$2:$E$521,E202,$F$2:$F$521))/VLOOKUP(A202,Operations!$A$3:$F$132,6,FALSE),0)</f>
        <v>#DIV/0!</v>
      </c>
      <c r="H202" s="28" t="e">
        <f t="shared" si="3"/>
        <v>#DIV/0!</v>
      </c>
    </row>
    <row r="203" spans="1:8" x14ac:dyDescent="0.3">
      <c r="A203" s="2" t="s">
        <v>79</v>
      </c>
      <c r="B203" s="8">
        <f>VLOOKUP(A203,Operations!$A$3:$B$132,2,TRUE)</f>
        <v>0</v>
      </c>
      <c r="C203" s="8">
        <f>VLOOKUP(A203,Operations!$A$3:$C$132,3,0)</f>
        <v>0</v>
      </c>
      <c r="D203" s="2" t="s">
        <v>150</v>
      </c>
      <c r="E203" s="2">
        <f>IFERROR(INDEX(Operations!$H$3:$K$132,MATCH(A203,Operations!$A$3:$A$132,0),MATCH(Link!D203,Operations!$H$2:$K$2,0)),"")</f>
        <v>0</v>
      </c>
      <c r="F203" t="b">
        <f>IF(E203&lt;&gt;0,IFERROR(VLOOKUP(A203,Operations!$A$3:$F$132,6,FALSE)*INDEX(Operations!$L$3:$O$132,MATCH(Link!A203,Operations!$A$3:$A$132,0),MATCH(Link!D203,Operations!$L$2:$O$2,0)),0))</f>
        <v>0</v>
      </c>
      <c r="G203" s="29" t="e">
        <f>ROUND((3600*F203/SUMIF($E$2:$E$521,E203,$F$2:$F$521))/VLOOKUP(A203,Operations!$A$3:$F$132,6,FALSE),0)</f>
        <v>#DIV/0!</v>
      </c>
      <c r="H203" s="28" t="e">
        <f t="shared" si="3"/>
        <v>#DIV/0!</v>
      </c>
    </row>
    <row r="204" spans="1:8" x14ac:dyDescent="0.3">
      <c r="A204" s="2" t="s">
        <v>80</v>
      </c>
      <c r="B204" s="8">
        <f>VLOOKUP(A204,Operations!$A$3:$B$132,2,TRUE)</f>
        <v>0</v>
      </c>
      <c r="C204" s="8">
        <f>VLOOKUP(A204,Operations!$A$3:$C$132,3,0)</f>
        <v>0</v>
      </c>
      <c r="D204" s="2" t="s">
        <v>150</v>
      </c>
      <c r="E204" s="2">
        <f>IFERROR(INDEX(Operations!$H$3:$K$132,MATCH(A204,Operations!$A$3:$A$132,0),MATCH(Link!D204,Operations!$H$2:$K$2,0)),"")</f>
        <v>0</v>
      </c>
      <c r="F204" t="b">
        <f>IF(E204&lt;&gt;0,IFERROR(VLOOKUP(A204,Operations!$A$3:$F$132,6,FALSE)*INDEX(Operations!$L$3:$O$132,MATCH(Link!A204,Operations!$A$3:$A$132,0),MATCH(Link!D204,Operations!$L$2:$O$2,0)),0))</f>
        <v>0</v>
      </c>
      <c r="G204" s="29" t="e">
        <f>ROUND((3600*F204/SUMIF($E$2:$E$521,E204,$F$2:$F$521))/VLOOKUP(A204,Operations!$A$3:$F$132,6,FALSE),0)</f>
        <v>#DIV/0!</v>
      </c>
      <c r="H204" s="28" t="e">
        <f t="shared" si="3"/>
        <v>#DIV/0!</v>
      </c>
    </row>
    <row r="205" spans="1:8" x14ac:dyDescent="0.3">
      <c r="A205" s="2" t="s">
        <v>81</v>
      </c>
      <c r="B205" s="8">
        <f>VLOOKUP(A205,Operations!$A$3:$B$132,2,TRUE)</f>
        <v>0</v>
      </c>
      <c r="C205" s="8">
        <f>VLOOKUP(A205,Operations!$A$3:$C$132,3,0)</f>
        <v>0</v>
      </c>
      <c r="D205" s="2" t="s">
        <v>150</v>
      </c>
      <c r="E205" s="2">
        <f>IFERROR(INDEX(Operations!$H$3:$K$132,MATCH(A205,Operations!$A$3:$A$132,0),MATCH(Link!D205,Operations!$H$2:$K$2,0)),"")</f>
        <v>0</v>
      </c>
      <c r="F205" t="b">
        <f>IF(E205&lt;&gt;0,IFERROR(VLOOKUP(A205,Operations!$A$3:$F$132,6,FALSE)*INDEX(Operations!$L$3:$O$132,MATCH(Link!A205,Operations!$A$3:$A$132,0),MATCH(Link!D205,Operations!$L$2:$O$2,0)),0))</f>
        <v>0</v>
      </c>
      <c r="G205" s="29" t="e">
        <f>ROUND((3600*F205/SUMIF($E$2:$E$521,E205,$F$2:$F$521))/VLOOKUP(A205,Operations!$A$3:$F$132,6,FALSE),0)</f>
        <v>#DIV/0!</v>
      </c>
      <c r="H205" s="28" t="e">
        <f t="shared" si="3"/>
        <v>#DIV/0!</v>
      </c>
    </row>
    <row r="206" spans="1:8" x14ac:dyDescent="0.3">
      <c r="A206" s="2" t="s">
        <v>82</v>
      </c>
      <c r="B206" s="8">
        <f>VLOOKUP(A206,Operations!$A$3:$B$132,2,TRUE)</f>
        <v>0</v>
      </c>
      <c r="C206" s="8">
        <f>VLOOKUP(A206,Operations!$A$3:$C$132,3,0)</f>
        <v>0</v>
      </c>
      <c r="D206" s="2" t="s">
        <v>150</v>
      </c>
      <c r="E206" s="2">
        <f>IFERROR(INDEX(Operations!$H$3:$K$132,MATCH(A206,Operations!$A$3:$A$132,0),MATCH(Link!D206,Operations!$H$2:$K$2,0)),"")</f>
        <v>0</v>
      </c>
      <c r="F206" t="b">
        <f>IF(E206&lt;&gt;0,IFERROR(VLOOKUP(A206,Operations!$A$3:$F$132,6,FALSE)*INDEX(Operations!$L$3:$O$132,MATCH(Link!A206,Operations!$A$3:$A$132,0),MATCH(Link!D206,Operations!$L$2:$O$2,0)),0))</f>
        <v>0</v>
      </c>
      <c r="G206" s="29" t="e">
        <f>ROUND((3600*F206/SUMIF($E$2:$E$521,E206,$F$2:$F$521))/VLOOKUP(A206,Operations!$A$3:$F$132,6,FALSE),0)</f>
        <v>#DIV/0!</v>
      </c>
      <c r="H206" s="28" t="e">
        <f t="shared" si="3"/>
        <v>#DIV/0!</v>
      </c>
    </row>
    <row r="207" spans="1:8" x14ac:dyDescent="0.3">
      <c r="A207" s="2" t="s">
        <v>83</v>
      </c>
      <c r="B207" s="8">
        <f>VLOOKUP(A207,Operations!$A$3:$B$132,2,TRUE)</f>
        <v>0</v>
      </c>
      <c r="C207" s="8">
        <f>VLOOKUP(A207,Operations!$A$3:$C$132,3,0)</f>
        <v>0</v>
      </c>
      <c r="D207" s="2" t="s">
        <v>150</v>
      </c>
      <c r="E207" s="2">
        <f>IFERROR(INDEX(Operations!$H$3:$K$132,MATCH(A207,Operations!$A$3:$A$132,0),MATCH(Link!D207,Operations!$H$2:$K$2,0)),"")</f>
        <v>0</v>
      </c>
      <c r="F207" t="b">
        <f>IF(E207&lt;&gt;0,IFERROR(VLOOKUP(A207,Operations!$A$3:$F$132,6,FALSE)*INDEX(Operations!$L$3:$O$132,MATCH(Link!A207,Operations!$A$3:$A$132,0),MATCH(Link!D207,Operations!$L$2:$O$2,0)),0))</f>
        <v>0</v>
      </c>
      <c r="G207" s="29" t="e">
        <f>ROUND((3600*F207/SUMIF($E$2:$E$521,E207,$F$2:$F$521))/VLOOKUP(A207,Operations!$A$3:$F$132,6,FALSE),0)</f>
        <v>#DIV/0!</v>
      </c>
      <c r="H207" s="28" t="e">
        <f t="shared" si="3"/>
        <v>#DIV/0!</v>
      </c>
    </row>
    <row r="208" spans="1:8" x14ac:dyDescent="0.3">
      <c r="A208" s="2" t="s">
        <v>84</v>
      </c>
      <c r="B208" s="8">
        <f>VLOOKUP(A208,Operations!$A$3:$B$132,2,TRUE)</f>
        <v>0</v>
      </c>
      <c r="C208" s="8">
        <f>VLOOKUP(A208,Operations!$A$3:$C$132,3,0)</f>
        <v>0</v>
      </c>
      <c r="D208" s="2" t="s">
        <v>150</v>
      </c>
      <c r="E208" s="2">
        <f>IFERROR(INDEX(Operations!$H$3:$K$132,MATCH(A208,Operations!$A$3:$A$132,0),MATCH(Link!D208,Operations!$H$2:$K$2,0)),"")</f>
        <v>0</v>
      </c>
      <c r="F208" t="b">
        <f>IF(E208&lt;&gt;0,IFERROR(VLOOKUP(A208,Operations!$A$3:$F$132,6,FALSE)*INDEX(Operations!$L$3:$O$132,MATCH(Link!A208,Operations!$A$3:$A$132,0),MATCH(Link!D208,Operations!$L$2:$O$2,0)),0))</f>
        <v>0</v>
      </c>
      <c r="G208" s="29" t="e">
        <f>ROUND((3600*F208/SUMIF($E$2:$E$521,E208,$F$2:$F$521))/VLOOKUP(A208,Operations!$A$3:$F$132,6,FALSE),0)</f>
        <v>#DIV/0!</v>
      </c>
      <c r="H208" s="28" t="e">
        <f t="shared" si="3"/>
        <v>#DIV/0!</v>
      </c>
    </row>
    <row r="209" spans="1:8" x14ac:dyDescent="0.3">
      <c r="A209" s="2" t="s">
        <v>85</v>
      </c>
      <c r="B209" s="8">
        <f>VLOOKUP(A209,Operations!$A$3:$B$132,2,TRUE)</f>
        <v>0</v>
      </c>
      <c r="C209" s="8">
        <f>VLOOKUP(A209,Operations!$A$3:$C$132,3,0)</f>
        <v>0</v>
      </c>
      <c r="D209" s="2" t="s">
        <v>150</v>
      </c>
      <c r="E209" s="2">
        <f>IFERROR(INDEX(Operations!$H$3:$K$132,MATCH(A209,Operations!$A$3:$A$132,0),MATCH(Link!D209,Operations!$H$2:$K$2,0)),"")</f>
        <v>0</v>
      </c>
      <c r="F209" t="b">
        <f>IF(E209&lt;&gt;0,IFERROR(VLOOKUP(A209,Operations!$A$3:$F$132,6,FALSE)*INDEX(Operations!$L$3:$O$132,MATCH(Link!A209,Operations!$A$3:$A$132,0),MATCH(Link!D209,Operations!$L$2:$O$2,0)),0))</f>
        <v>0</v>
      </c>
      <c r="G209" s="29" t="e">
        <f>ROUND((3600*F209/SUMIF($E$2:$E$521,E209,$F$2:$F$521))/VLOOKUP(A209,Operations!$A$3:$F$132,6,FALSE),0)</f>
        <v>#DIV/0!</v>
      </c>
      <c r="H209" s="28" t="e">
        <f t="shared" si="3"/>
        <v>#DIV/0!</v>
      </c>
    </row>
    <row r="210" spans="1:8" x14ac:dyDescent="0.3">
      <c r="A210" s="2" t="s">
        <v>86</v>
      </c>
      <c r="B210" s="8">
        <f>VLOOKUP(A210,Operations!$A$3:$B$132,2,TRUE)</f>
        <v>0</v>
      </c>
      <c r="C210" s="8">
        <f>VLOOKUP(A210,Operations!$A$3:$C$132,3,0)</f>
        <v>0</v>
      </c>
      <c r="D210" s="2" t="s">
        <v>150</v>
      </c>
      <c r="E210" s="2">
        <f>IFERROR(INDEX(Operations!$H$3:$K$132,MATCH(A210,Operations!$A$3:$A$132,0),MATCH(Link!D210,Operations!$H$2:$K$2,0)),"")</f>
        <v>0</v>
      </c>
      <c r="F210" t="b">
        <f>IF(E210&lt;&gt;0,IFERROR(VLOOKUP(A210,Operations!$A$3:$F$132,6,FALSE)*INDEX(Operations!$L$3:$O$132,MATCH(Link!A210,Operations!$A$3:$A$132,0),MATCH(Link!D210,Operations!$L$2:$O$2,0)),0))</f>
        <v>0</v>
      </c>
      <c r="G210" s="29" t="e">
        <f>ROUND((3600*F210/SUMIF($E$2:$E$521,E210,$F$2:$F$521))/VLOOKUP(A210,Operations!$A$3:$F$132,6,FALSE),0)</f>
        <v>#DIV/0!</v>
      </c>
      <c r="H210" s="28" t="e">
        <f t="shared" si="3"/>
        <v>#DIV/0!</v>
      </c>
    </row>
    <row r="211" spans="1:8" x14ac:dyDescent="0.3">
      <c r="A211" s="2" t="s">
        <v>87</v>
      </c>
      <c r="B211" s="8">
        <f>VLOOKUP(A211,Operations!$A$3:$B$132,2,TRUE)</f>
        <v>0</v>
      </c>
      <c r="C211" s="8">
        <f>VLOOKUP(A211,Operations!$A$3:$C$132,3,0)</f>
        <v>0</v>
      </c>
      <c r="D211" s="2" t="s">
        <v>150</v>
      </c>
      <c r="E211" s="2">
        <f>IFERROR(INDEX(Operations!$H$3:$K$132,MATCH(A211,Operations!$A$3:$A$132,0),MATCH(Link!D211,Operations!$H$2:$K$2,0)),"")</f>
        <v>0</v>
      </c>
      <c r="F211" t="b">
        <f>IF(E211&lt;&gt;0,IFERROR(VLOOKUP(A211,Operations!$A$3:$F$132,6,FALSE)*INDEX(Operations!$L$3:$O$132,MATCH(Link!A211,Operations!$A$3:$A$132,0),MATCH(Link!D211,Operations!$L$2:$O$2,0)),0))</f>
        <v>0</v>
      </c>
      <c r="G211" s="29" t="e">
        <f>ROUND((3600*F211/SUMIF($E$2:$E$521,E211,$F$2:$F$521))/VLOOKUP(A211,Operations!$A$3:$F$132,6,FALSE),0)</f>
        <v>#DIV/0!</v>
      </c>
      <c r="H211" s="28" t="e">
        <f t="shared" si="3"/>
        <v>#DIV/0!</v>
      </c>
    </row>
    <row r="212" spans="1:8" x14ac:dyDescent="0.3">
      <c r="A212" s="2" t="s">
        <v>88</v>
      </c>
      <c r="B212" s="8">
        <f>VLOOKUP(A212,Operations!$A$3:$B$132,2,TRUE)</f>
        <v>0</v>
      </c>
      <c r="C212" s="8">
        <f>VLOOKUP(A212,Operations!$A$3:$C$132,3,0)</f>
        <v>0</v>
      </c>
      <c r="D212" s="2" t="s">
        <v>150</v>
      </c>
      <c r="E212" s="2">
        <f>IFERROR(INDEX(Operations!$H$3:$K$132,MATCH(A212,Operations!$A$3:$A$132,0),MATCH(Link!D212,Operations!$H$2:$K$2,0)),"")</f>
        <v>0</v>
      </c>
      <c r="F212" t="b">
        <f>IF(E212&lt;&gt;0,IFERROR(VLOOKUP(A212,Operations!$A$3:$F$132,6,FALSE)*INDEX(Operations!$L$3:$O$132,MATCH(Link!A212,Operations!$A$3:$A$132,0),MATCH(Link!D212,Operations!$L$2:$O$2,0)),0))</f>
        <v>0</v>
      </c>
      <c r="G212" s="29" t="e">
        <f>ROUND((3600*F212/SUMIF($E$2:$E$521,E212,$F$2:$F$521))/VLOOKUP(A212,Operations!$A$3:$F$132,6,FALSE),0)</f>
        <v>#DIV/0!</v>
      </c>
      <c r="H212" s="28" t="e">
        <f t="shared" si="3"/>
        <v>#DIV/0!</v>
      </c>
    </row>
    <row r="213" spans="1:8" x14ac:dyDescent="0.3">
      <c r="A213" s="2" t="s">
        <v>89</v>
      </c>
      <c r="B213" s="8">
        <f>VLOOKUP(A213,Operations!$A$3:$B$132,2,TRUE)</f>
        <v>0</v>
      </c>
      <c r="C213" s="8">
        <f>VLOOKUP(A213,Operations!$A$3:$C$132,3,0)</f>
        <v>0</v>
      </c>
      <c r="D213" s="2" t="s">
        <v>150</v>
      </c>
      <c r="E213" s="2">
        <f>IFERROR(INDEX(Operations!$H$3:$K$132,MATCH(A213,Operations!$A$3:$A$132,0),MATCH(Link!D213,Operations!$H$2:$K$2,0)),"")</f>
        <v>0</v>
      </c>
      <c r="F213" t="b">
        <f>IF(E213&lt;&gt;0,IFERROR(VLOOKUP(A213,Operations!$A$3:$F$132,6,FALSE)*INDEX(Operations!$L$3:$O$132,MATCH(Link!A213,Operations!$A$3:$A$132,0),MATCH(Link!D213,Operations!$L$2:$O$2,0)),0))</f>
        <v>0</v>
      </c>
      <c r="G213" s="29" t="e">
        <f>ROUND((3600*F213/SUMIF($E$2:$E$521,E213,$F$2:$F$521))/VLOOKUP(A213,Operations!$A$3:$F$132,6,FALSE),0)</f>
        <v>#DIV/0!</v>
      </c>
      <c r="H213" s="28" t="e">
        <f t="shared" si="3"/>
        <v>#DIV/0!</v>
      </c>
    </row>
    <row r="214" spans="1:8" x14ac:dyDescent="0.3">
      <c r="A214" s="2" t="s">
        <v>90</v>
      </c>
      <c r="B214" s="8">
        <f>VLOOKUP(A214,Operations!$A$3:$B$132,2,TRUE)</f>
        <v>0</v>
      </c>
      <c r="C214" s="8">
        <f>VLOOKUP(A214,Operations!$A$3:$C$132,3,0)</f>
        <v>0</v>
      </c>
      <c r="D214" s="2" t="s">
        <v>150</v>
      </c>
      <c r="E214" s="2">
        <f>IFERROR(INDEX(Operations!$H$3:$K$132,MATCH(A214,Operations!$A$3:$A$132,0),MATCH(Link!D214,Operations!$H$2:$K$2,0)),"")</f>
        <v>0</v>
      </c>
      <c r="F214" t="b">
        <f>IF(E214&lt;&gt;0,IFERROR(VLOOKUP(A214,Operations!$A$3:$F$132,6,FALSE)*INDEX(Operations!$L$3:$O$132,MATCH(Link!A214,Operations!$A$3:$A$132,0),MATCH(Link!D214,Operations!$L$2:$O$2,0)),0))</f>
        <v>0</v>
      </c>
      <c r="G214" s="29" t="e">
        <f>ROUND((3600*F214/SUMIF($E$2:$E$521,E214,$F$2:$F$521))/VLOOKUP(A214,Operations!$A$3:$F$132,6,FALSE),0)</f>
        <v>#DIV/0!</v>
      </c>
      <c r="H214" s="28" t="e">
        <f t="shared" si="3"/>
        <v>#DIV/0!</v>
      </c>
    </row>
    <row r="215" spans="1:8" x14ac:dyDescent="0.3">
      <c r="A215" s="2" t="s">
        <v>91</v>
      </c>
      <c r="B215" s="8">
        <f>VLOOKUP(A215,Operations!$A$3:$B$132,2,TRUE)</f>
        <v>0</v>
      </c>
      <c r="C215" s="8">
        <f>VLOOKUP(A215,Operations!$A$3:$C$132,3,0)</f>
        <v>0</v>
      </c>
      <c r="D215" s="2" t="s">
        <v>150</v>
      </c>
      <c r="E215" s="2">
        <f>IFERROR(INDEX(Operations!$H$3:$K$132,MATCH(A215,Operations!$A$3:$A$132,0),MATCH(Link!D215,Operations!$H$2:$K$2,0)),"")</f>
        <v>0</v>
      </c>
      <c r="F215" t="b">
        <f>IF(E215&lt;&gt;0,IFERROR(VLOOKUP(A215,Operations!$A$3:$F$132,6,FALSE)*INDEX(Operations!$L$3:$O$132,MATCH(Link!A215,Operations!$A$3:$A$132,0),MATCH(Link!D215,Operations!$L$2:$O$2,0)),0))</f>
        <v>0</v>
      </c>
      <c r="G215" s="29" t="e">
        <f>ROUND((3600*F215/SUMIF($E$2:$E$521,E215,$F$2:$F$521))/VLOOKUP(A215,Operations!$A$3:$F$132,6,FALSE),0)</f>
        <v>#DIV/0!</v>
      </c>
      <c r="H215" s="28" t="e">
        <f t="shared" si="3"/>
        <v>#DIV/0!</v>
      </c>
    </row>
    <row r="216" spans="1:8" x14ac:dyDescent="0.3">
      <c r="A216" s="2" t="s">
        <v>92</v>
      </c>
      <c r="B216" s="8">
        <f>VLOOKUP(A216,Operations!$A$3:$B$132,2,TRUE)</f>
        <v>0</v>
      </c>
      <c r="C216" s="8">
        <f>VLOOKUP(A216,Operations!$A$3:$C$132,3,0)</f>
        <v>0</v>
      </c>
      <c r="D216" s="2" t="s">
        <v>150</v>
      </c>
      <c r="E216" s="2">
        <f>IFERROR(INDEX(Operations!$H$3:$K$132,MATCH(A216,Operations!$A$3:$A$132,0),MATCH(Link!D216,Operations!$H$2:$K$2,0)),"")</f>
        <v>0</v>
      </c>
      <c r="F216" t="b">
        <f>IF(E216&lt;&gt;0,IFERROR(VLOOKUP(A216,Operations!$A$3:$F$132,6,FALSE)*INDEX(Operations!$L$3:$O$132,MATCH(Link!A216,Operations!$A$3:$A$132,0),MATCH(Link!D216,Operations!$L$2:$O$2,0)),0))</f>
        <v>0</v>
      </c>
      <c r="G216" s="29" t="e">
        <f>ROUND((3600*F216/SUMIF($E$2:$E$521,E216,$F$2:$F$521))/VLOOKUP(A216,Operations!$A$3:$F$132,6,FALSE),0)</f>
        <v>#DIV/0!</v>
      </c>
      <c r="H216" s="28" t="e">
        <f t="shared" si="3"/>
        <v>#DIV/0!</v>
      </c>
    </row>
    <row r="217" spans="1:8" x14ac:dyDescent="0.3">
      <c r="A217" s="2" t="s">
        <v>93</v>
      </c>
      <c r="B217" s="8">
        <f>VLOOKUP(A217,Operations!$A$3:$B$132,2,TRUE)</f>
        <v>0</v>
      </c>
      <c r="C217" s="8">
        <f>VLOOKUP(A217,Operations!$A$3:$C$132,3,0)</f>
        <v>0</v>
      </c>
      <c r="D217" s="2" t="s">
        <v>150</v>
      </c>
      <c r="E217" s="2">
        <f>IFERROR(INDEX(Operations!$H$3:$K$132,MATCH(A217,Operations!$A$3:$A$132,0),MATCH(Link!D217,Operations!$H$2:$K$2,0)),"")</f>
        <v>0</v>
      </c>
      <c r="F217" t="b">
        <f>IF(E217&lt;&gt;0,IFERROR(VLOOKUP(A217,Operations!$A$3:$F$132,6,FALSE)*INDEX(Operations!$L$3:$O$132,MATCH(Link!A217,Operations!$A$3:$A$132,0),MATCH(Link!D217,Operations!$L$2:$O$2,0)),0))</f>
        <v>0</v>
      </c>
      <c r="G217" s="29" t="e">
        <f>ROUND((3600*F217/SUMIF($E$2:$E$521,E217,$F$2:$F$521))/VLOOKUP(A217,Operations!$A$3:$F$132,6,FALSE),0)</f>
        <v>#DIV/0!</v>
      </c>
      <c r="H217" s="28" t="e">
        <f t="shared" si="3"/>
        <v>#DIV/0!</v>
      </c>
    </row>
    <row r="218" spans="1:8" x14ac:dyDescent="0.3">
      <c r="A218" s="2" t="s">
        <v>94</v>
      </c>
      <c r="B218" s="8">
        <f>VLOOKUP(A218,Operations!$A$3:$B$132,2,TRUE)</f>
        <v>0</v>
      </c>
      <c r="C218" s="8">
        <f>VLOOKUP(A218,Operations!$A$3:$C$132,3,0)</f>
        <v>0</v>
      </c>
      <c r="D218" s="2" t="s">
        <v>150</v>
      </c>
      <c r="E218" s="2">
        <f>IFERROR(INDEX(Operations!$H$3:$K$132,MATCH(A218,Operations!$A$3:$A$132,0),MATCH(Link!D218,Operations!$H$2:$K$2,0)),"")</f>
        <v>0</v>
      </c>
      <c r="F218" t="b">
        <f>IF(E218&lt;&gt;0,IFERROR(VLOOKUP(A218,Operations!$A$3:$F$132,6,FALSE)*INDEX(Operations!$L$3:$O$132,MATCH(Link!A218,Operations!$A$3:$A$132,0),MATCH(Link!D218,Operations!$L$2:$O$2,0)),0))</f>
        <v>0</v>
      </c>
      <c r="G218" s="29" t="e">
        <f>ROUND((3600*F218/SUMIF($E$2:$E$521,E218,$F$2:$F$521))/VLOOKUP(A218,Operations!$A$3:$F$132,6,FALSE),0)</f>
        <v>#DIV/0!</v>
      </c>
      <c r="H218" s="28" t="e">
        <f t="shared" si="3"/>
        <v>#DIV/0!</v>
      </c>
    </row>
    <row r="219" spans="1:8" x14ac:dyDescent="0.3">
      <c r="A219" s="2" t="s">
        <v>95</v>
      </c>
      <c r="B219" s="8">
        <f>VLOOKUP(A219,Operations!$A$3:$B$132,2,TRUE)</f>
        <v>0</v>
      </c>
      <c r="C219" s="8">
        <f>VLOOKUP(A219,Operations!$A$3:$C$132,3,0)</f>
        <v>0</v>
      </c>
      <c r="D219" s="2" t="s">
        <v>150</v>
      </c>
      <c r="E219" s="2">
        <f>IFERROR(INDEX(Operations!$H$3:$K$132,MATCH(A219,Operations!$A$3:$A$132,0),MATCH(Link!D219,Operations!$H$2:$K$2,0)),"")</f>
        <v>0</v>
      </c>
      <c r="F219" t="b">
        <f>IF(E219&lt;&gt;0,IFERROR(VLOOKUP(A219,Operations!$A$3:$F$132,6,FALSE)*INDEX(Operations!$L$3:$O$132,MATCH(Link!A219,Operations!$A$3:$A$132,0),MATCH(Link!D219,Operations!$L$2:$O$2,0)),0))</f>
        <v>0</v>
      </c>
      <c r="G219" s="29" t="e">
        <f>ROUND((3600*F219/SUMIF($E$2:$E$521,E219,$F$2:$F$521))/VLOOKUP(A219,Operations!$A$3:$F$132,6,FALSE),0)</f>
        <v>#DIV/0!</v>
      </c>
      <c r="H219" s="28" t="e">
        <f t="shared" si="3"/>
        <v>#DIV/0!</v>
      </c>
    </row>
    <row r="220" spans="1:8" x14ac:dyDescent="0.3">
      <c r="A220" s="2" t="s">
        <v>96</v>
      </c>
      <c r="B220" s="8">
        <f>VLOOKUP(A220,Operations!$A$3:$B$132,2,TRUE)</f>
        <v>0</v>
      </c>
      <c r="C220" s="8">
        <f>VLOOKUP(A220,Operations!$A$3:$C$132,3,0)</f>
        <v>0</v>
      </c>
      <c r="D220" s="2" t="s">
        <v>150</v>
      </c>
      <c r="E220" s="2">
        <f>IFERROR(INDEX(Operations!$H$3:$K$132,MATCH(A220,Operations!$A$3:$A$132,0),MATCH(Link!D220,Operations!$H$2:$K$2,0)),"")</f>
        <v>0</v>
      </c>
      <c r="F220" t="b">
        <f>IF(E220&lt;&gt;0,IFERROR(VLOOKUP(A220,Operations!$A$3:$F$132,6,FALSE)*INDEX(Operations!$L$3:$O$132,MATCH(Link!A220,Operations!$A$3:$A$132,0),MATCH(Link!D220,Operations!$L$2:$O$2,0)),0))</f>
        <v>0</v>
      </c>
      <c r="G220" s="29" t="e">
        <f>ROUND((3600*F220/SUMIF($E$2:$E$521,E220,$F$2:$F$521))/VLOOKUP(A220,Operations!$A$3:$F$132,6,FALSE),0)</f>
        <v>#DIV/0!</v>
      </c>
      <c r="H220" s="28" t="e">
        <f t="shared" si="3"/>
        <v>#DIV/0!</v>
      </c>
    </row>
    <row r="221" spans="1:8" x14ac:dyDescent="0.3">
      <c r="A221" s="2" t="s">
        <v>97</v>
      </c>
      <c r="B221" s="8">
        <f>VLOOKUP(A221,Operations!$A$3:$B$132,2,TRUE)</f>
        <v>0</v>
      </c>
      <c r="C221" s="8">
        <f>VLOOKUP(A221,Operations!$A$3:$C$132,3,0)</f>
        <v>0</v>
      </c>
      <c r="D221" s="2" t="s">
        <v>150</v>
      </c>
      <c r="E221" s="2">
        <f>IFERROR(INDEX(Operations!$H$3:$K$132,MATCH(A221,Operations!$A$3:$A$132,0),MATCH(Link!D221,Operations!$H$2:$K$2,0)),"")</f>
        <v>0</v>
      </c>
      <c r="F221" t="b">
        <f>IF(E221&lt;&gt;0,IFERROR(VLOOKUP(A221,Operations!$A$3:$F$132,6,FALSE)*INDEX(Operations!$L$3:$O$132,MATCH(Link!A221,Operations!$A$3:$A$132,0),MATCH(Link!D221,Operations!$L$2:$O$2,0)),0))</f>
        <v>0</v>
      </c>
      <c r="G221" s="29" t="e">
        <f>ROUND((3600*F221/SUMIF($E$2:$E$521,E221,$F$2:$F$521))/VLOOKUP(A221,Operations!$A$3:$F$132,6,FALSE),0)</f>
        <v>#DIV/0!</v>
      </c>
      <c r="H221" s="28" t="e">
        <f t="shared" si="3"/>
        <v>#DIV/0!</v>
      </c>
    </row>
    <row r="222" spans="1:8" x14ac:dyDescent="0.3">
      <c r="A222" s="2" t="s">
        <v>98</v>
      </c>
      <c r="B222" s="8">
        <f>VLOOKUP(A222,Operations!$A$3:$B$132,2,TRUE)</f>
        <v>0</v>
      </c>
      <c r="C222" s="8">
        <f>VLOOKUP(A222,Operations!$A$3:$C$132,3,0)</f>
        <v>0</v>
      </c>
      <c r="D222" s="2" t="s">
        <v>150</v>
      </c>
      <c r="E222" s="2">
        <f>IFERROR(INDEX(Operations!$H$3:$K$132,MATCH(A222,Operations!$A$3:$A$132,0),MATCH(Link!D222,Operations!$H$2:$K$2,0)),"")</f>
        <v>0</v>
      </c>
      <c r="F222" t="b">
        <f>IF(E222&lt;&gt;0,IFERROR(VLOOKUP(A222,Operations!$A$3:$F$132,6,FALSE)*INDEX(Operations!$L$3:$O$132,MATCH(Link!A222,Operations!$A$3:$A$132,0),MATCH(Link!D222,Operations!$L$2:$O$2,0)),0))</f>
        <v>0</v>
      </c>
      <c r="G222" s="29" t="e">
        <f>ROUND((3600*F222/SUMIF($E$2:$E$521,E222,$F$2:$F$521))/VLOOKUP(A222,Operations!$A$3:$F$132,6,FALSE),0)</f>
        <v>#DIV/0!</v>
      </c>
      <c r="H222" s="28" t="e">
        <f t="shared" si="3"/>
        <v>#DIV/0!</v>
      </c>
    </row>
    <row r="223" spans="1:8" x14ac:dyDescent="0.3">
      <c r="A223" s="2" t="s">
        <v>99</v>
      </c>
      <c r="B223" s="8">
        <f>VLOOKUP(A223,Operations!$A$3:$B$132,2,TRUE)</f>
        <v>0</v>
      </c>
      <c r="C223" s="8">
        <f>VLOOKUP(A223,Operations!$A$3:$C$132,3,0)</f>
        <v>0</v>
      </c>
      <c r="D223" s="2" t="s">
        <v>150</v>
      </c>
      <c r="E223" s="2">
        <f>IFERROR(INDEX(Operations!$H$3:$K$132,MATCH(A223,Operations!$A$3:$A$132,0),MATCH(Link!D223,Operations!$H$2:$K$2,0)),"")</f>
        <v>0</v>
      </c>
      <c r="F223" t="b">
        <f>IF(E223&lt;&gt;0,IFERROR(VLOOKUP(A223,Operations!$A$3:$F$132,6,FALSE)*INDEX(Operations!$L$3:$O$132,MATCH(Link!A223,Operations!$A$3:$A$132,0),MATCH(Link!D223,Operations!$L$2:$O$2,0)),0))</f>
        <v>0</v>
      </c>
      <c r="G223" s="29" t="e">
        <f>ROUND((3600*F223/SUMIF($E$2:$E$521,E223,$F$2:$F$521))/VLOOKUP(A223,Operations!$A$3:$F$132,6,FALSE),0)</f>
        <v>#DIV/0!</v>
      </c>
      <c r="H223" s="28" t="e">
        <f t="shared" si="3"/>
        <v>#DIV/0!</v>
      </c>
    </row>
    <row r="224" spans="1:8" x14ac:dyDescent="0.3">
      <c r="A224" s="2" t="s">
        <v>100</v>
      </c>
      <c r="B224" s="8">
        <f>VLOOKUP(A224,Operations!$A$3:$B$132,2,TRUE)</f>
        <v>0</v>
      </c>
      <c r="C224" s="8">
        <f>VLOOKUP(A224,Operations!$A$3:$C$132,3,0)</f>
        <v>0</v>
      </c>
      <c r="D224" s="2" t="s">
        <v>150</v>
      </c>
      <c r="E224" s="2">
        <f>IFERROR(INDEX(Operations!$H$3:$K$132,MATCH(A224,Operations!$A$3:$A$132,0),MATCH(Link!D224,Operations!$H$2:$K$2,0)),"")</f>
        <v>0</v>
      </c>
      <c r="F224" t="b">
        <f>IF(E224&lt;&gt;0,IFERROR(VLOOKUP(A224,Operations!$A$3:$F$132,6,FALSE)*INDEX(Operations!$L$3:$O$132,MATCH(Link!A224,Operations!$A$3:$A$132,0),MATCH(Link!D224,Operations!$L$2:$O$2,0)),0))</f>
        <v>0</v>
      </c>
      <c r="G224" s="29" t="e">
        <f>ROUND((3600*F224/SUMIF($E$2:$E$521,E224,$F$2:$F$521))/VLOOKUP(A224,Operations!$A$3:$F$132,6,FALSE),0)</f>
        <v>#DIV/0!</v>
      </c>
      <c r="H224" s="28" t="e">
        <f t="shared" si="3"/>
        <v>#DIV/0!</v>
      </c>
    </row>
    <row r="225" spans="1:8" x14ac:dyDescent="0.3">
      <c r="A225" s="2" t="s">
        <v>101</v>
      </c>
      <c r="B225" s="8">
        <f>VLOOKUP(A225,Operations!$A$3:$B$132,2,TRUE)</f>
        <v>0</v>
      </c>
      <c r="C225" s="8">
        <f>VLOOKUP(A225,Operations!$A$3:$C$132,3,0)</f>
        <v>0</v>
      </c>
      <c r="D225" s="2" t="s">
        <v>150</v>
      </c>
      <c r="E225" s="2">
        <f>IFERROR(INDEX(Operations!$H$3:$K$132,MATCH(A225,Operations!$A$3:$A$132,0),MATCH(Link!D225,Operations!$H$2:$K$2,0)),"")</f>
        <v>0</v>
      </c>
      <c r="F225" t="b">
        <f>IF(E225&lt;&gt;0,IFERROR(VLOOKUP(A225,Operations!$A$3:$F$132,6,FALSE)*INDEX(Operations!$L$3:$O$132,MATCH(Link!A225,Operations!$A$3:$A$132,0),MATCH(Link!D225,Operations!$L$2:$O$2,0)),0))</f>
        <v>0</v>
      </c>
      <c r="G225" s="29" t="e">
        <f>ROUND((3600*F225/SUMIF($E$2:$E$521,E225,$F$2:$F$521))/VLOOKUP(A225,Operations!$A$3:$F$132,6,FALSE),0)</f>
        <v>#DIV/0!</v>
      </c>
      <c r="H225" s="28" t="e">
        <f t="shared" si="3"/>
        <v>#DIV/0!</v>
      </c>
    </row>
    <row r="226" spans="1:8" x14ac:dyDescent="0.3">
      <c r="A226" s="2" t="s">
        <v>102</v>
      </c>
      <c r="B226" s="8">
        <f>VLOOKUP(A226,Operations!$A$3:$B$132,2,TRUE)</f>
        <v>0</v>
      </c>
      <c r="C226" s="8">
        <f>VLOOKUP(A226,Operations!$A$3:$C$132,3,0)</f>
        <v>0</v>
      </c>
      <c r="D226" s="2" t="s">
        <v>150</v>
      </c>
      <c r="E226" s="2">
        <f>IFERROR(INDEX(Operations!$H$3:$K$132,MATCH(A226,Operations!$A$3:$A$132,0),MATCH(Link!D226,Operations!$H$2:$K$2,0)),"")</f>
        <v>0</v>
      </c>
      <c r="F226" t="b">
        <f>IF(E226&lt;&gt;0,IFERROR(VLOOKUP(A226,Operations!$A$3:$F$132,6,FALSE)*INDEX(Operations!$L$3:$O$132,MATCH(Link!A226,Operations!$A$3:$A$132,0),MATCH(Link!D226,Operations!$L$2:$O$2,0)),0))</f>
        <v>0</v>
      </c>
      <c r="G226" s="29" t="e">
        <f>ROUND((3600*F226/SUMIF($E$2:$E$521,E226,$F$2:$F$521))/VLOOKUP(A226,Operations!$A$3:$F$132,6,FALSE),0)</f>
        <v>#DIV/0!</v>
      </c>
      <c r="H226" s="28" t="e">
        <f t="shared" si="3"/>
        <v>#DIV/0!</v>
      </c>
    </row>
    <row r="227" spans="1:8" x14ac:dyDescent="0.3">
      <c r="A227" s="2" t="s">
        <v>103</v>
      </c>
      <c r="B227" s="8">
        <f>VLOOKUP(A227,Operations!$A$3:$B$132,2,TRUE)</f>
        <v>0</v>
      </c>
      <c r="C227" s="8">
        <f>VLOOKUP(A227,Operations!$A$3:$C$132,3,0)</f>
        <v>0</v>
      </c>
      <c r="D227" s="2" t="s">
        <v>150</v>
      </c>
      <c r="E227" s="2">
        <f>IFERROR(INDEX(Operations!$H$3:$K$132,MATCH(A227,Operations!$A$3:$A$132,0),MATCH(Link!D227,Operations!$H$2:$K$2,0)),"")</f>
        <v>0</v>
      </c>
      <c r="F227" t="b">
        <f>IF(E227&lt;&gt;0,IFERROR(VLOOKUP(A227,Operations!$A$3:$F$132,6,FALSE)*INDEX(Operations!$L$3:$O$132,MATCH(Link!A227,Operations!$A$3:$A$132,0),MATCH(Link!D227,Operations!$L$2:$O$2,0)),0))</f>
        <v>0</v>
      </c>
      <c r="G227" s="29" t="e">
        <f>ROUND((3600*F227/SUMIF($E$2:$E$521,E227,$F$2:$F$521))/VLOOKUP(A227,Operations!$A$3:$F$132,6,FALSE),0)</f>
        <v>#DIV/0!</v>
      </c>
      <c r="H227" s="28" t="e">
        <f t="shared" si="3"/>
        <v>#DIV/0!</v>
      </c>
    </row>
    <row r="228" spans="1:8" x14ac:dyDescent="0.3">
      <c r="A228" s="2" t="s">
        <v>104</v>
      </c>
      <c r="B228" s="8">
        <f>VLOOKUP(A228,Operations!$A$3:$B$132,2,TRUE)</f>
        <v>0</v>
      </c>
      <c r="C228" s="8">
        <f>VLOOKUP(A228,Operations!$A$3:$C$132,3,0)</f>
        <v>0</v>
      </c>
      <c r="D228" s="2" t="s">
        <v>150</v>
      </c>
      <c r="E228" s="2">
        <f>IFERROR(INDEX(Operations!$H$3:$K$132,MATCH(A228,Operations!$A$3:$A$132,0),MATCH(Link!D228,Operations!$H$2:$K$2,0)),"")</f>
        <v>0</v>
      </c>
      <c r="F228" t="b">
        <f>IF(E228&lt;&gt;0,IFERROR(VLOOKUP(A228,Operations!$A$3:$F$132,6,FALSE)*INDEX(Operations!$L$3:$O$132,MATCH(Link!A228,Operations!$A$3:$A$132,0),MATCH(Link!D228,Operations!$L$2:$O$2,0)),0))</f>
        <v>0</v>
      </c>
      <c r="G228" s="29" t="e">
        <f>ROUND((3600*F228/SUMIF($E$2:$E$521,E228,$F$2:$F$521))/VLOOKUP(A228,Operations!$A$3:$F$132,6,FALSE),0)</f>
        <v>#DIV/0!</v>
      </c>
      <c r="H228" s="28" t="e">
        <f t="shared" si="3"/>
        <v>#DIV/0!</v>
      </c>
    </row>
    <row r="229" spans="1:8" x14ac:dyDescent="0.3">
      <c r="A229" s="2" t="s">
        <v>105</v>
      </c>
      <c r="B229" s="8">
        <f>VLOOKUP(A229,Operations!$A$3:$B$132,2,TRUE)</f>
        <v>0</v>
      </c>
      <c r="C229" s="8">
        <f>VLOOKUP(A229,Operations!$A$3:$C$132,3,0)</f>
        <v>0</v>
      </c>
      <c r="D229" s="2" t="s">
        <v>150</v>
      </c>
      <c r="E229" s="2">
        <f>IFERROR(INDEX(Operations!$H$3:$K$132,MATCH(A229,Operations!$A$3:$A$132,0),MATCH(Link!D229,Operations!$H$2:$K$2,0)),"")</f>
        <v>0</v>
      </c>
      <c r="F229" t="b">
        <f>IF(E229&lt;&gt;0,IFERROR(VLOOKUP(A229,Operations!$A$3:$F$132,6,FALSE)*INDEX(Operations!$L$3:$O$132,MATCH(Link!A229,Operations!$A$3:$A$132,0),MATCH(Link!D229,Operations!$L$2:$O$2,0)),0))</f>
        <v>0</v>
      </c>
      <c r="G229" s="29" t="e">
        <f>ROUND((3600*F229/SUMIF($E$2:$E$521,E229,$F$2:$F$521))/VLOOKUP(A229,Operations!$A$3:$F$132,6,FALSE),0)</f>
        <v>#DIV/0!</v>
      </c>
      <c r="H229" s="28" t="e">
        <f t="shared" si="3"/>
        <v>#DIV/0!</v>
      </c>
    </row>
    <row r="230" spans="1:8" x14ac:dyDescent="0.3">
      <c r="A230" s="2" t="s">
        <v>106</v>
      </c>
      <c r="B230" s="8">
        <f>VLOOKUP(A230,Operations!$A$3:$B$132,2,TRUE)</f>
        <v>0</v>
      </c>
      <c r="C230" s="8">
        <f>VLOOKUP(A230,Operations!$A$3:$C$132,3,0)</f>
        <v>0</v>
      </c>
      <c r="D230" s="2" t="s">
        <v>150</v>
      </c>
      <c r="E230" s="2">
        <f>IFERROR(INDEX(Operations!$H$3:$K$132,MATCH(A230,Operations!$A$3:$A$132,0),MATCH(Link!D230,Operations!$H$2:$K$2,0)),"")</f>
        <v>0</v>
      </c>
      <c r="F230" t="b">
        <f>IF(E230&lt;&gt;0,IFERROR(VLOOKUP(A230,Operations!$A$3:$F$132,6,FALSE)*INDEX(Operations!$L$3:$O$132,MATCH(Link!A230,Operations!$A$3:$A$132,0),MATCH(Link!D230,Operations!$L$2:$O$2,0)),0))</f>
        <v>0</v>
      </c>
      <c r="G230" s="29" t="e">
        <f>ROUND((3600*F230/SUMIF($E$2:$E$521,E230,$F$2:$F$521))/VLOOKUP(A230,Operations!$A$3:$F$132,6,FALSE),0)</f>
        <v>#DIV/0!</v>
      </c>
      <c r="H230" s="28" t="e">
        <f t="shared" si="3"/>
        <v>#DIV/0!</v>
      </c>
    </row>
    <row r="231" spans="1:8" x14ac:dyDescent="0.3">
      <c r="A231" s="2" t="s">
        <v>107</v>
      </c>
      <c r="B231" s="8">
        <f>VLOOKUP(A231,Operations!$A$3:$B$132,2,TRUE)</f>
        <v>7</v>
      </c>
      <c r="C231" s="8">
        <f>VLOOKUP(A231,Operations!$A$3:$C$132,3,0)</f>
        <v>0</v>
      </c>
      <c r="D231" s="2" t="s">
        <v>150</v>
      </c>
      <c r="E231" s="2">
        <f>IFERROR(INDEX(Operations!$H$3:$K$132,MATCH(A231,Operations!$A$3:$A$132,0),MATCH(Link!D231,Operations!$H$2:$K$2,0)),"")</f>
        <v>0</v>
      </c>
      <c r="F231" t="b">
        <f>IF(E231&lt;&gt;0,IFERROR(VLOOKUP(A231,Operations!$A$3:$F$132,6,FALSE)*INDEX(Operations!$L$3:$O$132,MATCH(Link!A231,Operations!$A$3:$A$132,0),MATCH(Link!D231,Operations!$L$2:$O$2,0)),0))</f>
        <v>0</v>
      </c>
      <c r="G231" s="29" t="e">
        <f>ROUND((3600*F231/SUMIF($E$2:$E$521,E231,$F$2:$F$521))/VLOOKUP(A231,Operations!$A$3:$F$132,6,FALSE),0)</f>
        <v>#DIV/0!</v>
      </c>
      <c r="H231" s="28" t="e">
        <f t="shared" si="3"/>
        <v>#DIV/0!</v>
      </c>
    </row>
    <row r="232" spans="1:8" x14ac:dyDescent="0.3">
      <c r="A232" s="2" t="s">
        <v>108</v>
      </c>
      <c r="B232" s="8">
        <f>VLOOKUP(A232,Operations!$A$3:$B$132,2,TRUE)</f>
        <v>7</v>
      </c>
      <c r="C232" s="8">
        <f>VLOOKUP(A232,Operations!$A$3:$C$132,3,0)</f>
        <v>0</v>
      </c>
      <c r="D232" s="2" t="s">
        <v>150</v>
      </c>
      <c r="E232" s="2">
        <f>IFERROR(INDEX(Operations!$H$3:$K$132,MATCH(A232,Operations!$A$3:$A$132,0),MATCH(Link!D232,Operations!$H$2:$K$2,0)),"")</f>
        <v>0</v>
      </c>
      <c r="F232" t="b">
        <f>IF(E232&lt;&gt;0,IFERROR(VLOOKUP(A232,Operations!$A$3:$F$132,6,FALSE)*INDEX(Operations!$L$3:$O$132,MATCH(Link!A232,Operations!$A$3:$A$132,0),MATCH(Link!D232,Operations!$L$2:$O$2,0)),0))</f>
        <v>0</v>
      </c>
      <c r="G232" s="29" t="e">
        <f>ROUND((3600*F232/SUMIF($E$2:$E$521,E232,$F$2:$F$521))/VLOOKUP(A232,Operations!$A$3:$F$132,6,FALSE),0)</f>
        <v>#DIV/0!</v>
      </c>
      <c r="H232" s="28" t="e">
        <f t="shared" si="3"/>
        <v>#DIV/0!</v>
      </c>
    </row>
    <row r="233" spans="1:8" x14ac:dyDescent="0.3">
      <c r="A233" s="2" t="s">
        <v>109</v>
      </c>
      <c r="B233" s="8">
        <f>VLOOKUP(A233,Operations!$A$3:$B$132,2,TRUE)</f>
        <v>7</v>
      </c>
      <c r="C233" s="8">
        <f>VLOOKUP(A233,Operations!$A$3:$C$132,3,0)</f>
        <v>0</v>
      </c>
      <c r="D233" s="2" t="s">
        <v>150</v>
      </c>
      <c r="E233" s="2">
        <f>IFERROR(INDEX(Operations!$H$3:$K$132,MATCH(A233,Operations!$A$3:$A$132,0),MATCH(Link!D233,Operations!$H$2:$K$2,0)),"")</f>
        <v>0</v>
      </c>
      <c r="F233" t="b">
        <f>IF(E233&lt;&gt;0,IFERROR(VLOOKUP(A233,Operations!$A$3:$F$132,6,FALSE)*INDEX(Operations!$L$3:$O$132,MATCH(Link!A233,Operations!$A$3:$A$132,0),MATCH(Link!D233,Operations!$L$2:$O$2,0)),0))</f>
        <v>0</v>
      </c>
      <c r="G233" s="29" t="e">
        <f>ROUND((3600*F233/SUMIF($E$2:$E$521,E233,$F$2:$F$521))/VLOOKUP(A233,Operations!$A$3:$F$132,6,FALSE),0)</f>
        <v>#DIV/0!</v>
      </c>
      <c r="H233" s="28" t="e">
        <f t="shared" si="3"/>
        <v>#DIV/0!</v>
      </c>
    </row>
    <row r="234" spans="1:8" x14ac:dyDescent="0.3">
      <c r="A234" s="2" t="s">
        <v>110</v>
      </c>
      <c r="B234" s="8">
        <f>VLOOKUP(A234,Operations!$A$3:$B$132,2,TRUE)</f>
        <v>7</v>
      </c>
      <c r="C234" s="8">
        <f>VLOOKUP(A234,Operations!$A$3:$C$132,3,0)</f>
        <v>0</v>
      </c>
      <c r="D234" s="2" t="s">
        <v>150</v>
      </c>
      <c r="E234" s="2">
        <f>IFERROR(INDEX(Operations!$H$3:$K$132,MATCH(A234,Operations!$A$3:$A$132,0),MATCH(Link!D234,Operations!$H$2:$K$2,0)),"")</f>
        <v>0</v>
      </c>
      <c r="F234" t="b">
        <f>IF(E234&lt;&gt;0,IFERROR(VLOOKUP(A234,Operations!$A$3:$F$132,6,FALSE)*INDEX(Operations!$L$3:$O$132,MATCH(Link!A234,Operations!$A$3:$A$132,0),MATCH(Link!D234,Operations!$L$2:$O$2,0)),0))</f>
        <v>0</v>
      </c>
      <c r="G234" s="29" t="e">
        <f>ROUND((3600*F234/SUMIF($E$2:$E$521,E234,$F$2:$F$521))/VLOOKUP(A234,Operations!$A$3:$F$132,6,FALSE),0)</f>
        <v>#DIV/0!</v>
      </c>
      <c r="H234" s="28" t="e">
        <f t="shared" si="3"/>
        <v>#DIV/0!</v>
      </c>
    </row>
    <row r="235" spans="1:8" x14ac:dyDescent="0.3">
      <c r="A235" s="2" t="s">
        <v>111</v>
      </c>
      <c r="B235" s="8">
        <f>VLOOKUP(A235,Operations!$A$3:$B$132,2,TRUE)</f>
        <v>7</v>
      </c>
      <c r="C235" s="8">
        <f>VLOOKUP(A235,Operations!$A$3:$C$132,3,0)</f>
        <v>0</v>
      </c>
      <c r="D235" s="2" t="s">
        <v>150</v>
      </c>
      <c r="E235" s="2">
        <f>IFERROR(INDEX(Operations!$H$3:$K$132,MATCH(A235,Operations!$A$3:$A$132,0),MATCH(Link!D235,Operations!$H$2:$K$2,0)),"")</f>
        <v>0</v>
      </c>
      <c r="F235" t="b">
        <f>IF(E235&lt;&gt;0,IFERROR(VLOOKUP(A235,Operations!$A$3:$F$132,6,FALSE)*INDEX(Operations!$L$3:$O$132,MATCH(Link!A235,Operations!$A$3:$A$132,0),MATCH(Link!D235,Operations!$L$2:$O$2,0)),0))</f>
        <v>0</v>
      </c>
      <c r="G235" s="29" t="e">
        <f>ROUND((3600*F235/SUMIF($E$2:$E$521,E235,$F$2:$F$521))/VLOOKUP(A235,Operations!$A$3:$F$132,6,FALSE),0)</f>
        <v>#DIV/0!</v>
      </c>
      <c r="H235" s="28" t="e">
        <f t="shared" si="3"/>
        <v>#DIV/0!</v>
      </c>
    </row>
    <row r="236" spans="1:8" x14ac:dyDescent="0.3">
      <c r="A236" s="2" t="s">
        <v>112</v>
      </c>
      <c r="B236" s="8">
        <f>VLOOKUP(A236,Operations!$A$3:$B$132,2,TRUE)</f>
        <v>7</v>
      </c>
      <c r="C236" s="8">
        <f>VLOOKUP(A236,Operations!$A$3:$C$132,3,0)</f>
        <v>0</v>
      </c>
      <c r="D236" s="2" t="s">
        <v>150</v>
      </c>
      <c r="E236" s="2">
        <f>IFERROR(INDEX(Operations!$H$3:$K$132,MATCH(A236,Operations!$A$3:$A$132,0),MATCH(Link!D236,Operations!$H$2:$K$2,0)),"")</f>
        <v>0</v>
      </c>
      <c r="F236" t="b">
        <f>IF(E236&lt;&gt;0,IFERROR(VLOOKUP(A236,Operations!$A$3:$F$132,6,FALSE)*INDEX(Operations!$L$3:$O$132,MATCH(Link!A236,Operations!$A$3:$A$132,0),MATCH(Link!D236,Operations!$L$2:$O$2,0)),0))</f>
        <v>0</v>
      </c>
      <c r="G236" s="29" t="e">
        <f>ROUND((3600*F236/SUMIF($E$2:$E$521,E236,$F$2:$F$521))/VLOOKUP(A236,Operations!$A$3:$F$132,6,FALSE),0)</f>
        <v>#DIV/0!</v>
      </c>
      <c r="H236" s="28" t="e">
        <f t="shared" si="3"/>
        <v>#DIV/0!</v>
      </c>
    </row>
    <row r="237" spans="1:8" x14ac:dyDescent="0.3">
      <c r="A237" s="2" t="s">
        <v>113</v>
      </c>
      <c r="B237" s="8">
        <f>VLOOKUP(A237,Operations!$A$3:$B$132,2,TRUE)</f>
        <v>7</v>
      </c>
      <c r="C237" s="8">
        <f>VLOOKUP(A237,Operations!$A$3:$C$132,3,0)</f>
        <v>0</v>
      </c>
      <c r="D237" s="2" t="s">
        <v>150</v>
      </c>
      <c r="E237" s="2">
        <f>IFERROR(INDEX(Operations!$H$3:$K$132,MATCH(A237,Operations!$A$3:$A$132,0),MATCH(Link!D237,Operations!$H$2:$K$2,0)),"")</f>
        <v>0</v>
      </c>
      <c r="F237" t="b">
        <f>IF(E237&lt;&gt;0,IFERROR(VLOOKUP(A237,Operations!$A$3:$F$132,6,FALSE)*INDEX(Operations!$L$3:$O$132,MATCH(Link!A237,Operations!$A$3:$A$132,0),MATCH(Link!D237,Operations!$L$2:$O$2,0)),0))</f>
        <v>0</v>
      </c>
      <c r="G237" s="29" t="e">
        <f>ROUND((3600*F237/SUMIF($E$2:$E$521,E237,$F$2:$F$521))/VLOOKUP(A237,Operations!$A$3:$F$132,6,FALSE),0)</f>
        <v>#DIV/0!</v>
      </c>
      <c r="H237" s="28" t="e">
        <f t="shared" si="3"/>
        <v>#DIV/0!</v>
      </c>
    </row>
    <row r="238" spans="1:8" x14ac:dyDescent="0.3">
      <c r="A238" s="2" t="s">
        <v>114</v>
      </c>
      <c r="B238" s="8">
        <f>VLOOKUP(A238,Operations!$A$3:$B$132,2,TRUE)</f>
        <v>7</v>
      </c>
      <c r="C238" s="8">
        <f>VLOOKUP(A238,Operations!$A$3:$C$132,3,0)</f>
        <v>0</v>
      </c>
      <c r="D238" s="2" t="s">
        <v>150</v>
      </c>
      <c r="E238" s="2">
        <f>IFERROR(INDEX(Operations!$H$3:$K$132,MATCH(A238,Operations!$A$3:$A$132,0),MATCH(Link!D238,Operations!$H$2:$K$2,0)),"")</f>
        <v>0</v>
      </c>
      <c r="F238" t="b">
        <f>IF(E238&lt;&gt;0,IFERROR(VLOOKUP(A238,Operations!$A$3:$F$132,6,FALSE)*INDEX(Operations!$L$3:$O$132,MATCH(Link!A238,Operations!$A$3:$A$132,0),MATCH(Link!D238,Operations!$L$2:$O$2,0)),0))</f>
        <v>0</v>
      </c>
      <c r="G238" s="29" t="e">
        <f>ROUND((3600*F238/SUMIF($E$2:$E$521,E238,$F$2:$F$521))/VLOOKUP(A238,Operations!$A$3:$F$132,6,FALSE),0)</f>
        <v>#DIV/0!</v>
      </c>
      <c r="H238" s="28" t="e">
        <f t="shared" si="3"/>
        <v>#DIV/0!</v>
      </c>
    </row>
    <row r="239" spans="1:8" x14ac:dyDescent="0.3">
      <c r="A239" s="2" t="s">
        <v>115</v>
      </c>
      <c r="B239" s="8">
        <f>VLOOKUP(A239,Operations!$A$3:$B$132,2,TRUE)</f>
        <v>7</v>
      </c>
      <c r="C239" s="8">
        <f>VLOOKUP(A239,Operations!$A$3:$C$132,3,0)</f>
        <v>0</v>
      </c>
      <c r="D239" s="2" t="s">
        <v>150</v>
      </c>
      <c r="E239" s="2">
        <f>IFERROR(INDEX(Operations!$H$3:$K$132,MATCH(A239,Operations!$A$3:$A$132,0),MATCH(Link!D239,Operations!$H$2:$K$2,0)),"")</f>
        <v>0</v>
      </c>
      <c r="F239" t="b">
        <f>IF(E239&lt;&gt;0,IFERROR(VLOOKUP(A239,Operations!$A$3:$F$132,6,FALSE)*INDEX(Operations!$L$3:$O$132,MATCH(Link!A239,Operations!$A$3:$A$132,0),MATCH(Link!D239,Operations!$L$2:$O$2,0)),0))</f>
        <v>0</v>
      </c>
      <c r="G239" s="29" t="e">
        <f>ROUND((3600*F239/SUMIF($E$2:$E$521,E239,$F$2:$F$521))/VLOOKUP(A239,Operations!$A$3:$F$132,6,FALSE),0)</f>
        <v>#DIV/0!</v>
      </c>
      <c r="H239" s="28" t="e">
        <f t="shared" si="3"/>
        <v>#DIV/0!</v>
      </c>
    </row>
    <row r="240" spans="1:8" x14ac:dyDescent="0.3">
      <c r="A240" s="2" t="s">
        <v>116</v>
      </c>
      <c r="B240" s="8">
        <f>VLOOKUP(A240,Operations!$A$3:$B$132,2,TRUE)</f>
        <v>7</v>
      </c>
      <c r="C240" s="8">
        <f>VLOOKUP(A240,Operations!$A$3:$C$132,3,0)</f>
        <v>0</v>
      </c>
      <c r="D240" s="2" t="s">
        <v>150</v>
      </c>
      <c r="E240" s="2">
        <f>IFERROR(INDEX(Operations!$H$3:$K$132,MATCH(A240,Operations!$A$3:$A$132,0),MATCH(Link!D240,Operations!$H$2:$K$2,0)),"")</f>
        <v>0</v>
      </c>
      <c r="F240" t="b">
        <f>IF(E240&lt;&gt;0,IFERROR(VLOOKUP(A240,Operations!$A$3:$F$132,6,FALSE)*INDEX(Operations!$L$3:$O$132,MATCH(Link!A240,Operations!$A$3:$A$132,0),MATCH(Link!D240,Operations!$L$2:$O$2,0)),0))</f>
        <v>0</v>
      </c>
      <c r="G240" s="29" t="e">
        <f>ROUND((3600*F240/SUMIF($E$2:$E$521,E240,$F$2:$F$521))/VLOOKUP(A240,Operations!$A$3:$F$132,6,FALSE),0)</f>
        <v>#DIV/0!</v>
      </c>
      <c r="H240" s="28" t="e">
        <f t="shared" si="3"/>
        <v>#DIV/0!</v>
      </c>
    </row>
    <row r="241" spans="1:8" x14ac:dyDescent="0.3">
      <c r="A241" s="2" t="s">
        <v>117</v>
      </c>
      <c r="B241" s="8">
        <f>VLOOKUP(A241,Operations!$A$3:$B$132,2,TRUE)</f>
        <v>6</v>
      </c>
      <c r="C241" s="8">
        <f>VLOOKUP(A241,Operations!$A$3:$C$132,3,0)</f>
        <v>0</v>
      </c>
      <c r="D241" s="2" t="s">
        <v>150</v>
      </c>
      <c r="E241" s="2">
        <f>IFERROR(INDEX(Operations!$H$3:$K$132,MATCH(A241,Operations!$A$3:$A$132,0),MATCH(Link!D241,Operations!$H$2:$K$2,0)),"")</f>
        <v>0</v>
      </c>
      <c r="F241" t="b">
        <f>IF(E241&lt;&gt;0,IFERROR(VLOOKUP(A241,Operations!$A$3:$F$132,6,FALSE)*INDEX(Operations!$L$3:$O$132,MATCH(Link!A241,Operations!$A$3:$A$132,0),MATCH(Link!D241,Operations!$L$2:$O$2,0)),0))</f>
        <v>0</v>
      </c>
      <c r="G241" s="29" t="e">
        <f>ROUND((3600*F241/SUMIF($E$2:$E$521,E241,$F$2:$F$521))/VLOOKUP(A241,Operations!$A$3:$F$132,6,FALSE),0)</f>
        <v>#DIV/0!</v>
      </c>
      <c r="H241" s="28" t="e">
        <f t="shared" si="3"/>
        <v>#DIV/0!</v>
      </c>
    </row>
    <row r="242" spans="1:8" x14ac:dyDescent="0.3">
      <c r="A242" s="2" t="s">
        <v>118</v>
      </c>
      <c r="B242" s="8">
        <f>VLOOKUP(A242,Operations!$A$3:$B$132,2,TRUE)</f>
        <v>6</v>
      </c>
      <c r="C242" s="8">
        <f>VLOOKUP(A242,Operations!$A$3:$C$132,3,0)</f>
        <v>0</v>
      </c>
      <c r="D242" s="2" t="s">
        <v>150</v>
      </c>
      <c r="E242" s="2">
        <f>IFERROR(INDEX(Operations!$H$3:$K$132,MATCH(A242,Operations!$A$3:$A$132,0),MATCH(Link!D242,Operations!$H$2:$K$2,0)),"")</f>
        <v>0</v>
      </c>
      <c r="F242" t="b">
        <f>IF(E242&lt;&gt;0,IFERROR(VLOOKUP(A242,Operations!$A$3:$F$132,6,FALSE)*INDEX(Operations!$L$3:$O$132,MATCH(Link!A242,Operations!$A$3:$A$132,0),MATCH(Link!D242,Operations!$L$2:$O$2,0)),0))</f>
        <v>0</v>
      </c>
      <c r="G242" s="29" t="e">
        <f>ROUND((3600*F242/SUMIF($E$2:$E$521,E242,$F$2:$F$521))/VLOOKUP(A242,Operations!$A$3:$F$132,6,FALSE),0)</f>
        <v>#DIV/0!</v>
      </c>
      <c r="H242" s="28" t="e">
        <f t="shared" si="3"/>
        <v>#DIV/0!</v>
      </c>
    </row>
    <row r="243" spans="1:8" x14ac:dyDescent="0.3">
      <c r="A243" s="2" t="s">
        <v>119</v>
      </c>
      <c r="B243" s="8">
        <f>VLOOKUP(A243,Operations!$A$3:$B$132,2,TRUE)</f>
        <v>6</v>
      </c>
      <c r="C243" s="8">
        <f>VLOOKUP(A243,Operations!$A$3:$C$132,3,0)</f>
        <v>0</v>
      </c>
      <c r="D243" s="2" t="s">
        <v>150</v>
      </c>
      <c r="E243" s="2">
        <f>IFERROR(INDEX(Operations!$H$3:$K$132,MATCH(A243,Operations!$A$3:$A$132,0),MATCH(Link!D243,Operations!$H$2:$K$2,0)),"")</f>
        <v>0</v>
      </c>
      <c r="F243" t="b">
        <f>IF(E243&lt;&gt;0,IFERROR(VLOOKUP(A243,Operations!$A$3:$F$132,6,FALSE)*INDEX(Operations!$L$3:$O$132,MATCH(Link!A243,Operations!$A$3:$A$132,0),MATCH(Link!D243,Operations!$L$2:$O$2,0)),0))</f>
        <v>0</v>
      </c>
      <c r="G243" s="29" t="e">
        <f>ROUND((3600*F243/SUMIF($E$2:$E$521,E243,$F$2:$F$521))/VLOOKUP(A243,Operations!$A$3:$F$132,6,FALSE),0)</f>
        <v>#DIV/0!</v>
      </c>
      <c r="H243" s="28" t="e">
        <f t="shared" si="3"/>
        <v>#DIV/0!</v>
      </c>
    </row>
    <row r="244" spans="1:8" x14ac:dyDescent="0.3">
      <c r="A244" s="2" t="s">
        <v>120</v>
      </c>
      <c r="B244" s="8">
        <f>VLOOKUP(A244,Operations!$A$3:$B$132,2,TRUE)</f>
        <v>6</v>
      </c>
      <c r="C244" s="8">
        <f>VLOOKUP(A244,Operations!$A$3:$C$132,3,0)</f>
        <v>0</v>
      </c>
      <c r="D244" s="2" t="s">
        <v>150</v>
      </c>
      <c r="E244" s="2">
        <f>IFERROR(INDEX(Operations!$H$3:$K$132,MATCH(A244,Operations!$A$3:$A$132,0),MATCH(Link!D244,Operations!$H$2:$K$2,0)),"")</f>
        <v>0</v>
      </c>
      <c r="F244" t="b">
        <f>IF(E244&lt;&gt;0,IFERROR(VLOOKUP(A244,Operations!$A$3:$F$132,6,FALSE)*INDEX(Operations!$L$3:$O$132,MATCH(Link!A244,Operations!$A$3:$A$132,0),MATCH(Link!D244,Operations!$L$2:$O$2,0)),0))</f>
        <v>0</v>
      </c>
      <c r="G244" s="29" t="e">
        <f>ROUND((3600*F244/SUMIF($E$2:$E$521,E244,$F$2:$F$521))/VLOOKUP(A244,Operations!$A$3:$F$132,6,FALSE),0)</f>
        <v>#DIV/0!</v>
      </c>
      <c r="H244" s="28" t="e">
        <f t="shared" si="3"/>
        <v>#DIV/0!</v>
      </c>
    </row>
    <row r="245" spans="1:8" x14ac:dyDescent="0.3">
      <c r="A245" s="2" t="s">
        <v>121</v>
      </c>
      <c r="B245" s="8">
        <f>VLOOKUP(A245,Operations!$A$3:$B$132,2,TRUE)</f>
        <v>6</v>
      </c>
      <c r="C245" s="8">
        <f>VLOOKUP(A245,Operations!$A$3:$C$132,3,0)</f>
        <v>0</v>
      </c>
      <c r="D245" s="2" t="s">
        <v>150</v>
      </c>
      <c r="E245" s="2">
        <f>IFERROR(INDEX(Operations!$H$3:$K$132,MATCH(A245,Operations!$A$3:$A$132,0),MATCH(Link!D245,Operations!$H$2:$K$2,0)),"")</f>
        <v>0</v>
      </c>
      <c r="F245" t="b">
        <f>IF(E245&lt;&gt;0,IFERROR(VLOOKUP(A245,Operations!$A$3:$F$132,6,FALSE)*INDEX(Operations!$L$3:$O$132,MATCH(Link!A245,Operations!$A$3:$A$132,0),MATCH(Link!D245,Operations!$L$2:$O$2,0)),0))</f>
        <v>0</v>
      </c>
      <c r="G245" s="29" t="e">
        <f>ROUND((3600*F245/SUMIF($E$2:$E$521,E245,$F$2:$F$521))/VLOOKUP(A245,Operations!$A$3:$F$132,6,FALSE),0)</f>
        <v>#DIV/0!</v>
      </c>
      <c r="H245" s="28" t="e">
        <f t="shared" si="3"/>
        <v>#DIV/0!</v>
      </c>
    </row>
    <row r="246" spans="1:8" x14ac:dyDescent="0.3">
      <c r="A246" s="2" t="s">
        <v>122</v>
      </c>
      <c r="B246" s="8">
        <f>VLOOKUP(A246,Operations!$A$3:$B$132,2,TRUE)</f>
        <v>6</v>
      </c>
      <c r="C246" s="8">
        <f>VLOOKUP(A246,Operations!$A$3:$C$132,3,0)</f>
        <v>0</v>
      </c>
      <c r="D246" s="2" t="s">
        <v>150</v>
      </c>
      <c r="E246" s="2">
        <f>IFERROR(INDEX(Operations!$H$3:$K$132,MATCH(A246,Operations!$A$3:$A$132,0),MATCH(Link!D246,Operations!$H$2:$K$2,0)),"")</f>
        <v>0</v>
      </c>
      <c r="F246" t="b">
        <f>IF(E246&lt;&gt;0,IFERROR(VLOOKUP(A246,Operations!$A$3:$F$132,6,FALSE)*INDEX(Operations!$L$3:$O$132,MATCH(Link!A246,Operations!$A$3:$A$132,0),MATCH(Link!D246,Operations!$L$2:$O$2,0)),0))</f>
        <v>0</v>
      </c>
      <c r="G246" s="29" t="e">
        <f>ROUND((3600*F246/SUMIF($E$2:$E$521,E246,$F$2:$F$521))/VLOOKUP(A246,Operations!$A$3:$F$132,6,FALSE),0)</f>
        <v>#DIV/0!</v>
      </c>
      <c r="H246" s="28" t="e">
        <f t="shared" si="3"/>
        <v>#DIV/0!</v>
      </c>
    </row>
    <row r="247" spans="1:8" x14ac:dyDescent="0.3">
      <c r="A247" s="2" t="s">
        <v>123</v>
      </c>
      <c r="B247" s="8">
        <f>VLOOKUP(A247,Operations!$A$3:$B$132,2,TRUE)</f>
        <v>6</v>
      </c>
      <c r="C247" s="8">
        <f>VLOOKUP(A247,Operations!$A$3:$C$132,3,0)</f>
        <v>0</v>
      </c>
      <c r="D247" s="2" t="s">
        <v>150</v>
      </c>
      <c r="E247" s="2">
        <f>IFERROR(INDEX(Operations!$H$3:$K$132,MATCH(A247,Operations!$A$3:$A$132,0),MATCH(Link!D247,Operations!$H$2:$K$2,0)),"")</f>
        <v>0</v>
      </c>
      <c r="F247" t="b">
        <f>IF(E247&lt;&gt;0,IFERROR(VLOOKUP(A247,Operations!$A$3:$F$132,6,FALSE)*INDEX(Operations!$L$3:$O$132,MATCH(Link!A247,Operations!$A$3:$A$132,0),MATCH(Link!D247,Operations!$L$2:$O$2,0)),0))</f>
        <v>0</v>
      </c>
      <c r="G247" s="29" t="e">
        <f>ROUND((3600*F247/SUMIF($E$2:$E$521,E247,$F$2:$F$521))/VLOOKUP(A247,Operations!$A$3:$F$132,6,FALSE),0)</f>
        <v>#DIV/0!</v>
      </c>
      <c r="H247" s="28" t="e">
        <f t="shared" si="3"/>
        <v>#DIV/0!</v>
      </c>
    </row>
    <row r="248" spans="1:8" x14ac:dyDescent="0.3">
      <c r="A248" s="2" t="s">
        <v>124</v>
      </c>
      <c r="B248" s="8">
        <f>VLOOKUP(A248,Operations!$A$3:$B$132,2,TRUE)</f>
        <v>6</v>
      </c>
      <c r="C248" s="8">
        <f>VLOOKUP(A248,Operations!$A$3:$C$132,3,0)</f>
        <v>0</v>
      </c>
      <c r="D248" s="2" t="s">
        <v>150</v>
      </c>
      <c r="E248" s="2">
        <f>IFERROR(INDEX(Operations!$H$3:$K$132,MATCH(A248,Operations!$A$3:$A$132,0),MATCH(Link!D248,Operations!$H$2:$K$2,0)),"")</f>
        <v>0</v>
      </c>
      <c r="F248" t="b">
        <f>IF(E248&lt;&gt;0,IFERROR(VLOOKUP(A248,Operations!$A$3:$F$132,6,FALSE)*INDEX(Operations!$L$3:$O$132,MATCH(Link!A248,Operations!$A$3:$A$132,0),MATCH(Link!D248,Operations!$L$2:$O$2,0)),0))</f>
        <v>0</v>
      </c>
      <c r="G248" s="29" t="e">
        <f>ROUND((3600*F248/SUMIF($E$2:$E$521,E248,$F$2:$F$521))/VLOOKUP(A248,Operations!$A$3:$F$132,6,FALSE),0)</f>
        <v>#DIV/0!</v>
      </c>
      <c r="H248" s="28" t="e">
        <f t="shared" si="3"/>
        <v>#DIV/0!</v>
      </c>
    </row>
    <row r="249" spans="1:8" x14ac:dyDescent="0.3">
      <c r="A249" s="2" t="s">
        <v>125</v>
      </c>
      <c r="B249" s="8">
        <f>VLOOKUP(A249,Operations!$A$3:$B$132,2,TRUE)</f>
        <v>6</v>
      </c>
      <c r="C249" s="8">
        <f>VLOOKUP(A249,Operations!$A$3:$C$132,3,0)</f>
        <v>0</v>
      </c>
      <c r="D249" s="2" t="s">
        <v>150</v>
      </c>
      <c r="E249" s="2">
        <f>IFERROR(INDEX(Operations!$H$3:$K$132,MATCH(A249,Operations!$A$3:$A$132,0),MATCH(Link!D249,Operations!$H$2:$K$2,0)),"")</f>
        <v>0</v>
      </c>
      <c r="F249" t="b">
        <f>IF(E249&lt;&gt;0,IFERROR(VLOOKUP(A249,Operations!$A$3:$F$132,6,FALSE)*INDEX(Operations!$L$3:$O$132,MATCH(Link!A249,Operations!$A$3:$A$132,0),MATCH(Link!D249,Operations!$L$2:$O$2,0)),0))</f>
        <v>0</v>
      </c>
      <c r="G249" s="29" t="e">
        <f>ROUND((3600*F249/SUMIF($E$2:$E$521,E249,$F$2:$F$521))/VLOOKUP(A249,Operations!$A$3:$F$132,6,FALSE),0)</f>
        <v>#DIV/0!</v>
      </c>
      <c r="H249" s="28" t="e">
        <f t="shared" si="3"/>
        <v>#DIV/0!</v>
      </c>
    </row>
    <row r="250" spans="1:8" x14ac:dyDescent="0.3">
      <c r="A250" s="2" t="s">
        <v>126</v>
      </c>
      <c r="B250" s="8">
        <f>VLOOKUP(A250,Operations!$A$3:$B$132,2,TRUE)</f>
        <v>6</v>
      </c>
      <c r="C250" s="8">
        <f>VLOOKUP(A250,Operations!$A$3:$C$132,3,0)</f>
        <v>0</v>
      </c>
      <c r="D250" s="2" t="s">
        <v>150</v>
      </c>
      <c r="E250" s="2">
        <f>IFERROR(INDEX(Operations!$H$3:$K$132,MATCH(A250,Operations!$A$3:$A$132,0),MATCH(Link!D250,Operations!$H$2:$K$2,0)),"")</f>
        <v>0</v>
      </c>
      <c r="F250" t="b">
        <f>IF(E250&lt;&gt;0,IFERROR(VLOOKUP(A250,Operations!$A$3:$F$132,6,FALSE)*INDEX(Operations!$L$3:$O$132,MATCH(Link!A250,Operations!$A$3:$A$132,0),MATCH(Link!D250,Operations!$L$2:$O$2,0)),0))</f>
        <v>0</v>
      </c>
      <c r="G250" s="29" t="e">
        <f>ROUND((3600*F250/SUMIF($E$2:$E$521,E250,$F$2:$F$521))/VLOOKUP(A250,Operations!$A$3:$F$132,6,FALSE),0)</f>
        <v>#DIV/0!</v>
      </c>
      <c r="H250" s="28" t="e">
        <f t="shared" si="3"/>
        <v>#DIV/0!</v>
      </c>
    </row>
    <row r="251" spans="1:8" x14ac:dyDescent="0.3">
      <c r="A251" s="2" t="s">
        <v>127</v>
      </c>
      <c r="B251" s="8">
        <f>VLOOKUP(A251,Operations!$A$3:$B$132,2,TRUE)</f>
        <v>5</v>
      </c>
      <c r="C251" s="8">
        <f>VLOOKUP(A251,Operations!$A$3:$C$132,3,0)</f>
        <v>0</v>
      </c>
      <c r="D251" s="2" t="s">
        <v>150</v>
      </c>
      <c r="E251" s="2">
        <f>IFERROR(INDEX(Operations!$H$3:$K$132,MATCH(A251,Operations!$A$3:$A$132,0),MATCH(Link!D251,Operations!$H$2:$K$2,0)),"")</f>
        <v>0</v>
      </c>
      <c r="F251" t="b">
        <f>IF(E251&lt;&gt;0,IFERROR(VLOOKUP(A251,Operations!$A$3:$F$132,6,FALSE)*INDEX(Operations!$L$3:$O$132,MATCH(Link!A251,Operations!$A$3:$A$132,0),MATCH(Link!D251,Operations!$L$2:$O$2,0)),0))</f>
        <v>0</v>
      </c>
      <c r="G251" s="29" t="e">
        <f>ROUND((3600*F251/SUMIF($E$2:$E$521,E251,$F$2:$F$521))/VLOOKUP(A251,Operations!$A$3:$F$132,6,FALSE),0)</f>
        <v>#DIV/0!</v>
      </c>
      <c r="H251" s="28" t="e">
        <f t="shared" si="3"/>
        <v>#DIV/0!</v>
      </c>
    </row>
    <row r="252" spans="1:8" x14ac:dyDescent="0.3">
      <c r="A252" s="2" t="s">
        <v>128</v>
      </c>
      <c r="B252" s="8">
        <f>VLOOKUP(A252,Operations!$A$3:$B$132,2,TRUE)</f>
        <v>5</v>
      </c>
      <c r="C252" s="8">
        <f>VLOOKUP(A252,Operations!$A$3:$C$132,3,0)</f>
        <v>0</v>
      </c>
      <c r="D252" s="2" t="s">
        <v>150</v>
      </c>
      <c r="E252" s="2">
        <f>IFERROR(INDEX(Operations!$H$3:$K$132,MATCH(A252,Operations!$A$3:$A$132,0),MATCH(Link!D252,Operations!$H$2:$K$2,0)),"")</f>
        <v>0</v>
      </c>
      <c r="F252" t="b">
        <f>IF(E252&lt;&gt;0,IFERROR(VLOOKUP(A252,Operations!$A$3:$F$132,6,FALSE)*INDEX(Operations!$L$3:$O$132,MATCH(Link!A252,Operations!$A$3:$A$132,0),MATCH(Link!D252,Operations!$L$2:$O$2,0)),0))</f>
        <v>0</v>
      </c>
      <c r="G252" s="29" t="e">
        <f>ROUND((3600*F252/SUMIF($E$2:$E$521,E252,$F$2:$F$521))/VLOOKUP(A252,Operations!$A$3:$F$132,6,FALSE),0)</f>
        <v>#DIV/0!</v>
      </c>
      <c r="H252" s="28" t="e">
        <f t="shared" si="3"/>
        <v>#DIV/0!</v>
      </c>
    </row>
    <row r="253" spans="1:8" x14ac:dyDescent="0.3">
      <c r="A253" s="2" t="s">
        <v>129</v>
      </c>
      <c r="B253" s="8">
        <f>VLOOKUP(A253,Operations!$A$3:$B$132,2,TRUE)</f>
        <v>5</v>
      </c>
      <c r="C253" s="8">
        <f>VLOOKUP(A253,Operations!$A$3:$C$132,3,0)</f>
        <v>0</v>
      </c>
      <c r="D253" s="2" t="s">
        <v>150</v>
      </c>
      <c r="E253" s="2">
        <f>IFERROR(INDEX(Operations!$H$3:$K$132,MATCH(A253,Operations!$A$3:$A$132,0),MATCH(Link!D253,Operations!$H$2:$K$2,0)),"")</f>
        <v>0</v>
      </c>
      <c r="F253" t="b">
        <f>IF(E253&lt;&gt;0,IFERROR(VLOOKUP(A253,Operations!$A$3:$F$132,6,FALSE)*INDEX(Operations!$L$3:$O$132,MATCH(Link!A253,Operations!$A$3:$A$132,0),MATCH(Link!D253,Operations!$L$2:$O$2,0)),0))</f>
        <v>0</v>
      </c>
      <c r="G253" s="29" t="e">
        <f>ROUND((3600*F253/SUMIF($E$2:$E$521,E253,$F$2:$F$521))/VLOOKUP(A253,Operations!$A$3:$F$132,6,FALSE),0)</f>
        <v>#DIV/0!</v>
      </c>
      <c r="H253" s="28" t="e">
        <f t="shared" si="3"/>
        <v>#DIV/0!</v>
      </c>
    </row>
    <row r="254" spans="1:8" x14ac:dyDescent="0.3">
      <c r="A254" s="2" t="s">
        <v>130</v>
      </c>
      <c r="B254" s="8">
        <f>VLOOKUP(A254,Operations!$A$3:$B$132,2,TRUE)</f>
        <v>5</v>
      </c>
      <c r="C254" s="8">
        <f>VLOOKUP(A254,Operations!$A$3:$C$132,3,0)</f>
        <v>0</v>
      </c>
      <c r="D254" s="2" t="s">
        <v>150</v>
      </c>
      <c r="E254" s="2">
        <f>IFERROR(INDEX(Operations!$H$3:$K$132,MATCH(A254,Operations!$A$3:$A$132,0),MATCH(Link!D254,Operations!$H$2:$K$2,0)),"")</f>
        <v>0</v>
      </c>
      <c r="F254" t="b">
        <f>IF(E254&lt;&gt;0,IFERROR(VLOOKUP(A254,Operations!$A$3:$F$132,6,FALSE)*INDEX(Operations!$L$3:$O$132,MATCH(Link!A254,Operations!$A$3:$A$132,0),MATCH(Link!D254,Operations!$L$2:$O$2,0)),0))</f>
        <v>0</v>
      </c>
      <c r="G254" s="29" t="e">
        <f>ROUND((3600*F254/SUMIF($E$2:$E$521,E254,$F$2:$F$521))/VLOOKUP(A254,Operations!$A$3:$F$132,6,FALSE),0)</f>
        <v>#DIV/0!</v>
      </c>
      <c r="H254" s="28" t="e">
        <f t="shared" si="3"/>
        <v>#DIV/0!</v>
      </c>
    </row>
    <row r="255" spans="1:8" x14ac:dyDescent="0.3">
      <c r="A255" s="2" t="s">
        <v>131</v>
      </c>
      <c r="B255" s="8">
        <f>VLOOKUP(A255,Operations!$A$3:$B$132,2,TRUE)</f>
        <v>5</v>
      </c>
      <c r="C255" s="8">
        <f>VLOOKUP(A255,Operations!$A$3:$C$132,3,0)</f>
        <v>0</v>
      </c>
      <c r="D255" s="2" t="s">
        <v>150</v>
      </c>
      <c r="E255" s="2">
        <f>IFERROR(INDEX(Operations!$H$3:$K$132,MATCH(A255,Operations!$A$3:$A$132,0),MATCH(Link!D255,Operations!$H$2:$K$2,0)),"")</f>
        <v>0</v>
      </c>
      <c r="F255" t="b">
        <f>IF(E255&lt;&gt;0,IFERROR(VLOOKUP(A255,Operations!$A$3:$F$132,6,FALSE)*INDEX(Operations!$L$3:$O$132,MATCH(Link!A255,Operations!$A$3:$A$132,0),MATCH(Link!D255,Operations!$L$2:$O$2,0)),0))</f>
        <v>0</v>
      </c>
      <c r="G255" s="29" t="e">
        <f>ROUND((3600*F255/SUMIF($E$2:$E$521,E255,$F$2:$F$521))/VLOOKUP(A255,Operations!$A$3:$F$132,6,FALSE),0)</f>
        <v>#DIV/0!</v>
      </c>
      <c r="H255" s="28" t="e">
        <f t="shared" si="3"/>
        <v>#DIV/0!</v>
      </c>
    </row>
    <row r="256" spans="1:8" x14ac:dyDescent="0.3">
      <c r="A256" s="2" t="s">
        <v>132</v>
      </c>
      <c r="B256" s="8">
        <f>VLOOKUP(A256,Operations!$A$3:$B$132,2,TRUE)</f>
        <v>5</v>
      </c>
      <c r="C256" s="8">
        <f>VLOOKUP(A256,Operations!$A$3:$C$132,3,0)</f>
        <v>0</v>
      </c>
      <c r="D256" s="2" t="s">
        <v>150</v>
      </c>
      <c r="E256" s="2">
        <f>IFERROR(INDEX(Operations!$H$3:$K$132,MATCH(A256,Operations!$A$3:$A$132,0),MATCH(Link!D256,Operations!$H$2:$K$2,0)),"")</f>
        <v>0</v>
      </c>
      <c r="F256" t="b">
        <f>IF(E256&lt;&gt;0,IFERROR(VLOOKUP(A256,Operations!$A$3:$F$132,6,FALSE)*INDEX(Operations!$L$3:$O$132,MATCH(Link!A256,Operations!$A$3:$A$132,0),MATCH(Link!D256,Operations!$L$2:$O$2,0)),0))</f>
        <v>0</v>
      </c>
      <c r="G256" s="29" t="e">
        <f>ROUND((3600*F256/SUMIF($E$2:$E$521,E256,$F$2:$F$521))/VLOOKUP(A256,Operations!$A$3:$F$132,6,FALSE),0)</f>
        <v>#DIV/0!</v>
      </c>
      <c r="H256" s="28" t="e">
        <f t="shared" si="3"/>
        <v>#DIV/0!</v>
      </c>
    </row>
    <row r="257" spans="1:8" x14ac:dyDescent="0.3">
      <c r="A257" s="2" t="s">
        <v>133</v>
      </c>
      <c r="B257" s="8">
        <f>VLOOKUP(A257,Operations!$A$3:$B$132,2,TRUE)</f>
        <v>5</v>
      </c>
      <c r="C257" s="8">
        <f>VLOOKUP(A257,Operations!$A$3:$C$132,3,0)</f>
        <v>0</v>
      </c>
      <c r="D257" s="2" t="s">
        <v>150</v>
      </c>
      <c r="E257" s="2">
        <f>IFERROR(INDEX(Operations!$H$3:$K$132,MATCH(A257,Operations!$A$3:$A$132,0),MATCH(Link!D257,Operations!$H$2:$K$2,0)),"")</f>
        <v>0</v>
      </c>
      <c r="F257" t="b">
        <f>IF(E257&lt;&gt;0,IFERROR(VLOOKUP(A257,Operations!$A$3:$F$132,6,FALSE)*INDEX(Operations!$L$3:$O$132,MATCH(Link!A257,Operations!$A$3:$A$132,0),MATCH(Link!D257,Operations!$L$2:$O$2,0)),0))</f>
        <v>0</v>
      </c>
      <c r="G257" s="29" t="e">
        <f>ROUND((3600*F257/SUMIF($E$2:$E$521,E257,$F$2:$F$521))/VLOOKUP(A257,Operations!$A$3:$F$132,6,FALSE),0)</f>
        <v>#DIV/0!</v>
      </c>
      <c r="H257" s="28" t="e">
        <f t="shared" si="3"/>
        <v>#DIV/0!</v>
      </c>
    </row>
    <row r="258" spans="1:8" x14ac:dyDescent="0.3">
      <c r="A258" s="2" t="s">
        <v>134</v>
      </c>
      <c r="B258" s="8">
        <f>VLOOKUP(A258,Operations!$A$3:$B$132,2,TRUE)</f>
        <v>5</v>
      </c>
      <c r="C258" s="8">
        <f>VLOOKUP(A258,Operations!$A$3:$C$132,3,0)</f>
        <v>0</v>
      </c>
      <c r="D258" s="2" t="s">
        <v>150</v>
      </c>
      <c r="E258" s="2">
        <f>IFERROR(INDEX(Operations!$H$3:$K$132,MATCH(A258,Operations!$A$3:$A$132,0),MATCH(Link!D258,Operations!$H$2:$K$2,0)),"")</f>
        <v>0</v>
      </c>
      <c r="F258" t="b">
        <f>IF(E258&lt;&gt;0,IFERROR(VLOOKUP(A258,Operations!$A$3:$F$132,6,FALSE)*INDEX(Operations!$L$3:$O$132,MATCH(Link!A258,Operations!$A$3:$A$132,0),MATCH(Link!D258,Operations!$L$2:$O$2,0)),0))</f>
        <v>0</v>
      </c>
      <c r="G258" s="29" t="e">
        <f>ROUND((3600*F258/SUMIF($E$2:$E$521,E258,$F$2:$F$521))/VLOOKUP(A258,Operations!$A$3:$F$132,6,FALSE),0)</f>
        <v>#DIV/0!</v>
      </c>
      <c r="H258" s="28" t="e">
        <f t="shared" si="3"/>
        <v>#DIV/0!</v>
      </c>
    </row>
    <row r="259" spans="1:8" x14ac:dyDescent="0.3">
      <c r="A259" s="2" t="s">
        <v>135</v>
      </c>
      <c r="B259" s="8">
        <f>VLOOKUP(A259,Operations!$A$3:$B$132,2,TRUE)</f>
        <v>5</v>
      </c>
      <c r="C259" s="8">
        <f>VLOOKUP(A259,Operations!$A$3:$C$132,3,0)</f>
        <v>0</v>
      </c>
      <c r="D259" s="2" t="s">
        <v>150</v>
      </c>
      <c r="E259" s="2">
        <f>IFERROR(INDEX(Operations!$H$3:$K$132,MATCH(A259,Operations!$A$3:$A$132,0),MATCH(Link!D259,Operations!$H$2:$K$2,0)),"")</f>
        <v>0</v>
      </c>
      <c r="F259" t="b">
        <f>IF(E259&lt;&gt;0,IFERROR(VLOOKUP(A259,Operations!$A$3:$F$132,6,FALSE)*INDEX(Operations!$L$3:$O$132,MATCH(Link!A259,Operations!$A$3:$A$132,0),MATCH(Link!D259,Operations!$L$2:$O$2,0)),0))</f>
        <v>0</v>
      </c>
      <c r="G259" s="29" t="e">
        <f>ROUND((3600*F259/SUMIF($E$2:$E$521,E259,$F$2:$F$521))/VLOOKUP(A259,Operations!$A$3:$F$132,6,FALSE),0)</f>
        <v>#DIV/0!</v>
      </c>
      <c r="H259" s="28" t="e">
        <f t="shared" ref="H259:H322" si="4">C259&amp;":"&amp;" "&amp;G259</f>
        <v>#DIV/0!</v>
      </c>
    </row>
    <row r="260" spans="1:8" x14ac:dyDescent="0.3">
      <c r="A260" s="2" t="s">
        <v>136</v>
      </c>
      <c r="B260" s="8">
        <f>VLOOKUP(A260,Operations!$A$3:$B$132,2,TRUE)</f>
        <v>5</v>
      </c>
      <c r="C260" s="8">
        <f>VLOOKUP(A260,Operations!$A$3:$C$132,3,0)</f>
        <v>0</v>
      </c>
      <c r="D260" s="2" t="s">
        <v>150</v>
      </c>
      <c r="E260" s="2">
        <f>IFERROR(INDEX(Operations!$H$3:$K$132,MATCH(A260,Operations!$A$3:$A$132,0),MATCH(Link!D260,Operations!$H$2:$K$2,0)),"")</f>
        <v>0</v>
      </c>
      <c r="F260" t="b">
        <f>IF(E260&lt;&gt;0,IFERROR(VLOOKUP(A260,Operations!$A$3:$F$132,6,FALSE)*INDEX(Operations!$L$3:$O$132,MATCH(Link!A260,Operations!$A$3:$A$132,0),MATCH(Link!D260,Operations!$L$2:$O$2,0)),0))</f>
        <v>0</v>
      </c>
      <c r="G260" s="29" t="e">
        <f>ROUND((3600*F260/SUMIF($E$2:$E$521,E260,$F$2:$F$521))/VLOOKUP(A260,Operations!$A$3:$F$132,6,FALSE),0)</f>
        <v>#DIV/0!</v>
      </c>
      <c r="H260" s="28" t="e">
        <f t="shared" si="4"/>
        <v>#DIV/0!</v>
      </c>
    </row>
    <row r="261" spans="1:8" x14ac:dyDescent="0.3">
      <c r="A261" s="2" t="s">
        <v>137</v>
      </c>
      <c r="B261" s="8">
        <f>VLOOKUP(A261,Operations!$A$3:$B$132,2,TRUE)</f>
        <v>4</v>
      </c>
      <c r="C261" s="8">
        <f>VLOOKUP(A261,Operations!$A$3:$C$132,3,0)</f>
        <v>0</v>
      </c>
      <c r="D261" s="2" t="s">
        <v>150</v>
      </c>
      <c r="E261" s="2">
        <f>IFERROR(INDEX(Operations!$H$3:$K$132,MATCH(A261,Operations!$A$3:$A$132,0),MATCH(Link!D261,Operations!$H$2:$K$2,0)),"")</f>
        <v>0</v>
      </c>
      <c r="F261" t="b">
        <f>IF(E261&lt;&gt;0,IFERROR(VLOOKUP(A261,Operations!$A$3:$F$132,6,FALSE)*INDEX(Operations!$L$3:$O$132,MATCH(Link!A261,Operations!$A$3:$A$132,0),MATCH(Link!D261,Operations!$L$2:$O$2,0)),0))</f>
        <v>0</v>
      </c>
      <c r="G261" s="29" t="e">
        <f>ROUND((3600*F261/SUMIF($E$2:$E$521,E261,$F$2:$F$521))/VLOOKUP(A261,Operations!$A$3:$F$132,6,FALSE),0)</f>
        <v>#DIV/0!</v>
      </c>
      <c r="H261" s="28" t="e">
        <f t="shared" si="4"/>
        <v>#DIV/0!</v>
      </c>
    </row>
    <row r="262" spans="1:8" x14ac:dyDescent="0.3">
      <c r="A262" s="8" t="s">
        <v>9</v>
      </c>
      <c r="B262" s="8">
        <f>VLOOKUP(A262,Operations!$A$3:$B$132,2,TRUE)</f>
        <v>0</v>
      </c>
      <c r="C262" s="8" t="str">
        <f>VLOOKUP(A262,Operations!$A$3:$C$132,3,0)</f>
        <v>Treo móc</v>
      </c>
      <c r="D262" s="2" t="s">
        <v>151</v>
      </c>
      <c r="E262" s="2">
        <f>IFERROR(INDEX(Operations!$H$3:$K$132,MATCH(A262,Operations!$A$3:$A$132,0),MATCH(Link!D262,Operations!$H$2:$K$2,0)),"")</f>
        <v>0</v>
      </c>
      <c r="F262" t="b">
        <f>IF(E262&lt;&gt;0,IFERROR(VLOOKUP(A262,Operations!$A$3:$F$132,6,FALSE)*INDEX(Operations!$L$3:$O$132,MATCH(Link!A262,Operations!$A$3:$A$132,0),MATCH(Link!D262,Operations!$L$2:$O$2,0)),0))</f>
        <v>0</v>
      </c>
      <c r="G262" s="29" t="e">
        <f>ROUND((3600*F262/SUMIF($E$2:$E$521,E262,$F$2:$F$521))/VLOOKUP(A262,Operations!$A$3:$F$132,6,FALSE),0)</f>
        <v>#DIV/0!</v>
      </c>
      <c r="H262" s="28" t="e">
        <f t="shared" si="4"/>
        <v>#DIV/0!</v>
      </c>
    </row>
    <row r="263" spans="1:8" x14ac:dyDescent="0.3">
      <c r="A263" s="8" t="s">
        <v>8</v>
      </c>
      <c r="B263" s="8">
        <f>VLOOKUP(A263,Operations!$A$3:$B$132,2,TRUE)</f>
        <v>15</v>
      </c>
      <c r="C263" s="8" t="str">
        <f>VLOOKUP(A263,Operations!$A$3:$C$132,3,0)</f>
        <v>Khóa lai áo tròn</v>
      </c>
      <c r="D263" s="2" t="s">
        <v>151</v>
      </c>
      <c r="E263" s="2">
        <f>IFERROR(INDEX(Operations!$H$3:$K$132,MATCH(A263,Operations!$A$3:$A$132,0),MATCH(Link!D263,Operations!$H$2:$K$2,0)),"")</f>
        <v>0</v>
      </c>
      <c r="F263" t="b">
        <f>IF(E263&lt;&gt;0,IFERROR(VLOOKUP(A263,Operations!$A$3:$F$132,6,FALSE)*INDEX(Operations!$L$3:$O$132,MATCH(Link!A263,Operations!$A$3:$A$132,0),MATCH(Link!D263,Operations!$L$2:$O$2,0)),0))</f>
        <v>0</v>
      </c>
      <c r="G263" s="29" t="e">
        <f>ROUND((3600*F263/SUMIF($E$2:$E$521,E263,$F$2:$F$521))/VLOOKUP(A263,Operations!$A$3:$F$132,6,FALSE),0)</f>
        <v>#DIV/0!</v>
      </c>
      <c r="H263" s="28" t="e">
        <f t="shared" si="4"/>
        <v>#DIV/0!</v>
      </c>
    </row>
    <row r="264" spans="1:8" x14ac:dyDescent="0.3">
      <c r="A264" s="8" t="s">
        <v>10</v>
      </c>
      <c r="B264" s="8">
        <f>VLOOKUP(A264,Operations!$A$3:$B$132,2,TRUE)</f>
        <v>14</v>
      </c>
      <c r="C264" s="8" t="str">
        <f>VLOOKUP(A264,Operations!$A$3:$C$132,3,0)</f>
        <v>May lai áo tròn</v>
      </c>
      <c r="D264" s="2" t="s">
        <v>151</v>
      </c>
      <c r="E264" s="2">
        <f>IFERROR(INDEX(Operations!$H$3:$K$132,MATCH(A264,Operations!$A$3:$A$132,0),MATCH(Link!D264,Operations!$H$2:$K$2,0)),"")</f>
        <v>0</v>
      </c>
      <c r="F264" t="b">
        <f>IF(E264&lt;&gt;0,IFERROR(VLOOKUP(A264,Operations!$A$3:$F$132,6,FALSE)*INDEX(Operations!$L$3:$O$132,MATCH(Link!A264,Operations!$A$3:$A$132,0),MATCH(Link!D264,Operations!$L$2:$O$2,0)),0))</f>
        <v>0</v>
      </c>
      <c r="G264" s="29" t="e">
        <f>ROUND((3600*F264/SUMIF($E$2:$E$521,E264,$F$2:$F$521))/VLOOKUP(A264,Operations!$A$3:$F$132,6,FALSE),0)</f>
        <v>#DIV/0!</v>
      </c>
      <c r="H264" s="28" t="e">
        <f t="shared" si="4"/>
        <v>#DIV/0!</v>
      </c>
    </row>
    <row r="265" spans="1:8" x14ac:dyDescent="0.3">
      <c r="A265" s="8" t="s">
        <v>11</v>
      </c>
      <c r="B265" s="8">
        <f>VLOOKUP(A265,Operations!$A$3:$B$132,2,TRUE)</f>
        <v>13</v>
      </c>
      <c r="C265" s="8" t="str">
        <f>VLOOKUP(A265,Operations!$A$3:$C$132,3,0)</f>
        <v>Khóa lai tay dài</v>
      </c>
      <c r="D265" s="2" t="s">
        <v>151</v>
      </c>
      <c r="E265" s="2">
        <f>IFERROR(INDEX(Operations!$H$3:$K$132,MATCH(A265,Operations!$A$3:$A$132,0),MATCH(Link!D265,Operations!$H$2:$K$2,0)),"")</f>
        <v>0</v>
      </c>
      <c r="F265" t="b">
        <f>IF(E265&lt;&gt;0,IFERROR(VLOOKUP(A265,Operations!$A$3:$F$132,6,FALSE)*INDEX(Operations!$L$3:$O$132,MATCH(Link!A265,Operations!$A$3:$A$132,0),MATCH(Link!D265,Operations!$L$2:$O$2,0)),0))</f>
        <v>0</v>
      </c>
      <c r="G265" s="29" t="e">
        <f>ROUND((3600*F265/SUMIF($E$2:$E$521,E265,$F$2:$F$521))/VLOOKUP(A265,Operations!$A$3:$F$132,6,FALSE),0)</f>
        <v>#DIV/0!</v>
      </c>
      <c r="H265" s="28" t="e">
        <f t="shared" si="4"/>
        <v>#DIV/0!</v>
      </c>
    </row>
    <row r="266" spans="1:8" x14ac:dyDescent="0.3">
      <c r="A266" s="8" t="s">
        <v>12</v>
      </c>
      <c r="B266" s="8">
        <f>VLOOKUP(A266,Operations!$A$3:$B$132,2,TRUE)</f>
        <v>12</v>
      </c>
      <c r="C266" s="8" t="str">
        <f>VLOOKUP(A266,Operations!$A$3:$C$132,3,0)</f>
        <v xml:space="preserve">VS sườn tay dài + sườn áo  + gắn nhãn </v>
      </c>
      <c r="D266" s="2" t="s">
        <v>151</v>
      </c>
      <c r="E266" s="2" t="str">
        <f>IFERROR(INDEX(Operations!$H$3:$K$132,MATCH(A266,Operations!$A$3:$A$132,0),MATCH(Link!D266,Operations!$H$2:$K$2,0)),"")</f>
        <v>W19</v>
      </c>
      <c r="F266">
        <f>IF(E266&lt;&gt;0,IFERROR(VLOOKUP(A266,Operations!$A$3:$F$132,6,FALSE)*INDEX(Operations!$L$3:$O$132,MATCH(Link!A266,Operations!$A$3:$A$132,0),MATCH(Link!D266,Operations!$L$2:$O$2,0)),0))</f>
        <v>14.408000000000001</v>
      </c>
      <c r="G266" s="29">
        <f>ROUND((3600*F266/SUMIF($E$2:$E$521,E266,$F$2:$F$521))/VLOOKUP(A266,Operations!$A$3:$F$132,6,FALSE),0)</f>
        <v>83</v>
      </c>
      <c r="H266" s="28" t="str">
        <f t="shared" si="4"/>
        <v>VS sườn tay dài + sườn áo  + gắn nhãn : 83</v>
      </c>
    </row>
    <row r="267" spans="1:8" x14ac:dyDescent="0.3">
      <c r="A267" s="8" t="s">
        <v>13</v>
      </c>
      <c r="B267" s="8">
        <f>VLOOKUP(A267,Operations!$A$3:$B$132,2,TRUE)</f>
        <v>11</v>
      </c>
      <c r="C267" s="8" t="str">
        <f>VLOOKUP(A267,Operations!$A$3:$C$132,3,0)</f>
        <v>Lược nhãn sườn</v>
      </c>
      <c r="D267" s="2" t="s">
        <v>151</v>
      </c>
      <c r="E267" s="2">
        <f>IFERROR(INDEX(Operations!$H$3:$K$132,MATCH(A267,Operations!$A$3:$A$132,0),MATCH(Link!D267,Operations!$H$2:$K$2,0)),"")</f>
        <v>0</v>
      </c>
      <c r="F267" t="b">
        <f>IF(E267&lt;&gt;0,IFERROR(VLOOKUP(A267,Operations!$A$3:$F$132,6,FALSE)*INDEX(Operations!$L$3:$O$132,MATCH(Link!A267,Operations!$A$3:$A$132,0),MATCH(Link!D267,Operations!$L$2:$O$2,0)),0))</f>
        <v>0</v>
      </c>
      <c r="G267" s="29" t="e">
        <f>ROUND((3600*F267/SUMIF($E$2:$E$521,E267,$F$2:$F$521))/VLOOKUP(A267,Operations!$A$3:$F$132,6,FALSE),0)</f>
        <v>#DIV/0!</v>
      </c>
      <c r="H267" s="28" t="e">
        <f t="shared" si="4"/>
        <v>#DIV/0!</v>
      </c>
    </row>
    <row r="268" spans="1:8" x14ac:dyDescent="0.3">
      <c r="A268" s="8" t="s">
        <v>14</v>
      </c>
      <c r="B268" s="8">
        <f>VLOOKUP(A268,Operations!$A$3:$B$132,2,TRUE)</f>
        <v>10</v>
      </c>
      <c r="C268" s="8" t="str">
        <f>VLOOKUP(A268,Operations!$A$3:$C$132,3,0)</f>
        <v>VS tra tay thẳng</v>
      </c>
      <c r="D268" s="2" t="s">
        <v>151</v>
      </c>
      <c r="E268" s="2" t="str">
        <f>IFERROR(INDEX(Operations!$H$3:$K$132,MATCH(A268,Operations!$A$3:$A$132,0),MATCH(Link!D268,Operations!$H$2:$K$2,0)),"")</f>
        <v>W16</v>
      </c>
      <c r="F268">
        <f>IF(E268&lt;&gt;0,IFERROR(VLOOKUP(A268,Operations!$A$3:$F$132,6,FALSE)*INDEX(Operations!$L$3:$O$132,MATCH(Link!A268,Operations!$A$3:$A$132,0),MATCH(Link!D268,Operations!$L$2:$O$2,0)),0))</f>
        <v>5.0460000000000003</v>
      </c>
      <c r="G268" s="29">
        <f>ROUND((3600*F268/SUMIF($E$2:$E$521,E268,$F$2:$F$521))/VLOOKUP(A268,Operations!$A$3:$F$132,6,FALSE),0)</f>
        <v>32</v>
      </c>
      <c r="H268" s="28" t="str">
        <f t="shared" si="4"/>
        <v>VS tra tay thẳng: 32</v>
      </c>
    </row>
    <row r="269" spans="1:8" x14ac:dyDescent="0.3">
      <c r="A269" s="8" t="s">
        <v>15</v>
      </c>
      <c r="B269" s="8">
        <f>VLOOKUP(A269,Operations!$A$3:$B$132,2,TRUE)</f>
        <v>9</v>
      </c>
      <c r="C269" s="8" t="str">
        <f>VLOOKUP(A269,Operations!$A$3:$C$132,3,0)</f>
        <v>Mí viền cổ - canh nhãn cổ</v>
      </c>
      <c r="D269" s="2" t="s">
        <v>151</v>
      </c>
      <c r="E269" s="2">
        <f>IFERROR(INDEX(Operations!$H$3:$K$132,MATCH(A269,Operations!$A$3:$A$132,0),MATCH(Link!D269,Operations!$H$2:$K$2,0)),"")</f>
        <v>0</v>
      </c>
      <c r="F269" t="b">
        <f>IF(E269&lt;&gt;0,IFERROR(VLOOKUP(A269,Operations!$A$3:$F$132,6,FALSE)*INDEX(Operations!$L$3:$O$132,MATCH(Link!A269,Operations!$A$3:$A$132,0),MATCH(Link!D269,Operations!$L$2:$O$2,0)),0))</f>
        <v>0</v>
      </c>
      <c r="G269" s="29" t="e">
        <f>ROUND((3600*F269/SUMIF($E$2:$E$521,E269,$F$2:$F$521))/VLOOKUP(A269,Operations!$A$3:$F$132,6,FALSE),0)</f>
        <v>#DIV/0!</v>
      </c>
      <c r="H269" s="28" t="e">
        <f t="shared" si="4"/>
        <v>#DIV/0!</v>
      </c>
    </row>
    <row r="270" spans="1:8" x14ac:dyDescent="0.3">
      <c r="A270" s="8" t="s">
        <v>16</v>
      </c>
      <c r="B270" s="8">
        <f>VLOOKUP(A270,Operations!$A$3:$B$132,2,TRUE)</f>
        <v>8</v>
      </c>
      <c r="C270" s="8" t="str">
        <f>VLOOKUP(A270,Operations!$A$3:$C$132,3,0)</f>
        <v xml:space="preserve">LD + lược 1 nhãn vào giữa cổ </v>
      </c>
      <c r="D270" s="2" t="s">
        <v>151</v>
      </c>
      <c r="E270" s="2">
        <f>IFERROR(INDEX(Operations!$H$3:$K$132,MATCH(A270,Operations!$A$3:$A$132,0),MATCH(Link!D270,Operations!$H$2:$K$2,0)),"")</f>
        <v>0</v>
      </c>
      <c r="F270" t="b">
        <f>IF(E270&lt;&gt;0,IFERROR(VLOOKUP(A270,Operations!$A$3:$F$132,6,FALSE)*INDEX(Operations!$L$3:$O$132,MATCH(Link!A270,Operations!$A$3:$A$132,0),MATCH(Link!D270,Operations!$L$2:$O$2,0)),0))</f>
        <v>0</v>
      </c>
      <c r="G270" s="29" t="e">
        <f>ROUND((3600*F270/SUMIF($E$2:$E$521,E270,$F$2:$F$521))/VLOOKUP(A270,Operations!$A$3:$F$132,6,FALSE),0)</f>
        <v>#DIV/0!</v>
      </c>
      <c r="H270" s="28" t="e">
        <f t="shared" si="4"/>
        <v>#DIV/0!</v>
      </c>
    </row>
    <row r="271" spans="1:8" x14ac:dyDescent="0.3">
      <c r="A271" s="8" t="s">
        <v>17</v>
      </c>
      <c r="B271" s="8">
        <f>VLOOKUP(A271,Operations!$A$3:$B$132,2,TRUE)</f>
        <v>7</v>
      </c>
      <c r="C271" s="8" t="str">
        <f>VLOOKUP(A271,Operations!$A$3:$C$132,3,0)</f>
        <v>Bẻ + gói chèo 2 đầu viền</v>
      </c>
      <c r="D271" s="2" t="s">
        <v>151</v>
      </c>
      <c r="E271" s="2">
        <f>IFERROR(INDEX(Operations!$H$3:$K$132,MATCH(A271,Operations!$A$3:$A$132,0),MATCH(Link!D271,Operations!$H$2:$K$2,0)),"")</f>
        <v>0</v>
      </c>
      <c r="F271" t="b">
        <f>IF(E271&lt;&gt;0,IFERROR(VLOOKUP(A271,Operations!$A$3:$F$132,6,FALSE)*INDEX(Operations!$L$3:$O$132,MATCH(Link!A271,Operations!$A$3:$A$132,0),MATCH(Link!D271,Operations!$L$2:$O$2,0)),0))</f>
        <v>0</v>
      </c>
      <c r="G271" s="29" t="e">
        <f>ROUND((3600*F271/SUMIF($E$2:$E$521,E271,$F$2:$F$521))/VLOOKUP(A271,Operations!$A$3:$F$132,6,FALSE),0)</f>
        <v>#DIV/0!</v>
      </c>
      <c r="H271" s="28" t="e">
        <f t="shared" si="4"/>
        <v>#DIV/0!</v>
      </c>
    </row>
    <row r="272" spans="1:8" x14ac:dyDescent="0.3">
      <c r="A272" s="8" t="s">
        <v>18</v>
      </c>
      <c r="B272" s="8">
        <f>VLOOKUP(A272,Operations!$A$3:$B$132,2,TRUE)</f>
        <v>6</v>
      </c>
      <c r="C272" s="8" t="str">
        <f>VLOOKUP(A272,Operations!$A$3:$C$132,3,0)</f>
        <v>Tra viền cổ sau</v>
      </c>
      <c r="D272" s="2" t="s">
        <v>151</v>
      </c>
      <c r="E272" s="2">
        <f>IFERROR(INDEX(Operations!$H$3:$K$132,MATCH(A272,Operations!$A$3:$A$132,0),MATCH(Link!D272,Operations!$H$2:$K$2,0)),"")</f>
        <v>0</v>
      </c>
      <c r="F272" t="b">
        <f>IF(E272&lt;&gt;0,IFERROR(VLOOKUP(A272,Operations!$A$3:$F$132,6,FALSE)*INDEX(Operations!$L$3:$O$132,MATCH(Link!A272,Operations!$A$3:$A$132,0),MATCH(Link!D272,Operations!$L$2:$O$2,0)),0))</f>
        <v>0</v>
      </c>
      <c r="G272" s="29" t="e">
        <f>ROUND((3600*F272/SUMIF($E$2:$E$521,E272,$F$2:$F$521))/VLOOKUP(A272,Operations!$A$3:$F$132,6,FALSE),0)</f>
        <v>#DIV/0!</v>
      </c>
      <c r="H272" s="28" t="e">
        <f t="shared" si="4"/>
        <v>#DIV/0!</v>
      </c>
    </row>
    <row r="273" spans="1:8" x14ac:dyDescent="0.3">
      <c r="A273" s="8" t="s">
        <v>19</v>
      </c>
      <c r="B273" s="8">
        <f>VLOOKUP(A273,Operations!$A$3:$B$132,2,TRUE)</f>
        <v>5</v>
      </c>
      <c r="C273" s="8" t="str">
        <f>VLOOKUP(A273,Operations!$A$3:$C$132,3,0)</f>
        <v>VS tra bo cổ</v>
      </c>
      <c r="D273" s="2" t="s">
        <v>151</v>
      </c>
      <c r="E273" s="2">
        <f>IFERROR(INDEX(Operations!$H$3:$K$132,MATCH(A273,Operations!$A$3:$A$132,0),MATCH(Link!D273,Operations!$H$2:$K$2,0)),"")</f>
        <v>0</v>
      </c>
      <c r="F273" t="b">
        <f>IF(E273&lt;&gt;0,IFERROR(VLOOKUP(A273,Operations!$A$3:$F$132,6,FALSE)*INDEX(Operations!$L$3:$O$132,MATCH(Link!A273,Operations!$A$3:$A$132,0),MATCH(Link!D273,Operations!$L$2:$O$2,0)),0))</f>
        <v>0</v>
      </c>
      <c r="G273" s="29" t="e">
        <f>ROUND((3600*F273/SUMIF($E$2:$E$521,E273,$F$2:$F$521))/VLOOKUP(A273,Operations!$A$3:$F$132,6,FALSE),0)</f>
        <v>#DIV/0!</v>
      </c>
      <c r="H273" s="28" t="e">
        <f t="shared" si="4"/>
        <v>#DIV/0!</v>
      </c>
    </row>
    <row r="274" spans="1:8" x14ac:dyDescent="0.3">
      <c r="A274" s="8" t="s">
        <v>20</v>
      </c>
      <c r="B274" s="8">
        <f>VLOOKUP(A274,Operations!$A$3:$B$132,2,TRUE)</f>
        <v>4</v>
      </c>
      <c r="C274" s="8" t="str">
        <f>VLOOKUP(A274,Operations!$A$3:$C$132,3,0)</f>
        <v>VS vai</v>
      </c>
      <c r="D274" s="2" t="s">
        <v>151</v>
      </c>
      <c r="E274" s="2">
        <f>IFERROR(INDEX(Operations!$H$3:$K$132,MATCH(A274,Operations!$A$3:$A$132,0),MATCH(Link!D274,Operations!$H$2:$K$2,0)),"")</f>
        <v>0</v>
      </c>
      <c r="F274" t="b">
        <f>IF(E274&lt;&gt;0,IFERROR(VLOOKUP(A274,Operations!$A$3:$F$132,6,FALSE)*INDEX(Operations!$L$3:$O$132,MATCH(Link!A274,Operations!$A$3:$A$132,0),MATCH(Link!D274,Operations!$L$2:$O$2,0)),0))</f>
        <v>0</v>
      </c>
      <c r="G274" s="29" t="e">
        <f>ROUND((3600*F274/SUMIF($E$2:$E$521,E274,$F$2:$F$521))/VLOOKUP(A274,Operations!$A$3:$F$132,6,FALSE),0)</f>
        <v>#DIV/0!</v>
      </c>
      <c r="H274" s="28" t="e">
        <f t="shared" si="4"/>
        <v>#DIV/0!</v>
      </c>
    </row>
    <row r="275" spans="1:8" x14ac:dyDescent="0.3">
      <c r="A275" s="8" t="s">
        <v>21</v>
      </c>
      <c r="B275" s="8">
        <f>VLOOKUP(A275,Operations!$A$3:$B$132,2,TRUE)</f>
        <v>3</v>
      </c>
      <c r="C275" s="8" t="str">
        <f>VLOOKUP(A275,Operations!$A$3:$C$132,3,0)</f>
        <v>May lai tay thẳng</v>
      </c>
      <c r="D275" s="2" t="s">
        <v>151</v>
      </c>
      <c r="E275" s="2">
        <f>IFERROR(INDEX(Operations!$H$3:$K$132,MATCH(A275,Operations!$A$3:$A$132,0),MATCH(Link!D275,Operations!$H$2:$K$2,0)),"")</f>
        <v>0</v>
      </c>
      <c r="F275" t="b">
        <f>IF(E275&lt;&gt;0,IFERROR(VLOOKUP(A275,Operations!$A$3:$F$132,6,FALSE)*INDEX(Operations!$L$3:$O$132,MATCH(Link!A275,Operations!$A$3:$A$132,0),MATCH(Link!D275,Operations!$L$2:$O$2,0)),0))</f>
        <v>0</v>
      </c>
      <c r="G275" s="29" t="e">
        <f>ROUND((3600*F275/SUMIF($E$2:$E$521,E275,$F$2:$F$521))/VLOOKUP(A275,Operations!$A$3:$F$132,6,FALSE),0)</f>
        <v>#DIV/0!</v>
      </c>
      <c r="H275" s="28" t="e">
        <f t="shared" si="4"/>
        <v>#DIV/0!</v>
      </c>
    </row>
    <row r="276" spans="1:8" x14ac:dyDescent="0.3">
      <c r="A276" s="8" t="s">
        <v>22</v>
      </c>
      <c r="B276" s="8">
        <f>VLOOKUP(A276,Operations!$A$3:$B$132,2,TRUE)</f>
        <v>2</v>
      </c>
      <c r="C276" s="8" t="str">
        <f>VLOOKUP(A276,Operations!$A$3:$C$132,3,0)</f>
        <v>Lộn + lược chân bo cổ</v>
      </c>
      <c r="D276" s="2" t="s">
        <v>151</v>
      </c>
      <c r="E276" s="2">
        <f>IFERROR(INDEX(Operations!$H$3:$K$132,MATCH(A276,Operations!$A$3:$A$132,0),MATCH(Link!D276,Operations!$H$2:$K$2,0)),"")</f>
        <v>0</v>
      </c>
      <c r="F276" t="b">
        <f>IF(E276&lt;&gt;0,IFERROR(VLOOKUP(A276,Operations!$A$3:$F$132,6,FALSE)*INDEX(Operations!$L$3:$O$132,MATCH(Link!A276,Operations!$A$3:$A$132,0),MATCH(Link!D276,Operations!$L$2:$O$2,0)),0))</f>
        <v>0</v>
      </c>
      <c r="G276" s="29" t="e">
        <f>ROUND((3600*F276/SUMIF($E$2:$E$521,E276,$F$2:$F$521))/VLOOKUP(A276,Operations!$A$3:$F$132,6,FALSE),0)</f>
        <v>#DIV/0!</v>
      </c>
      <c r="H276" s="28" t="e">
        <f t="shared" si="4"/>
        <v>#DIV/0!</v>
      </c>
    </row>
    <row r="277" spans="1:8" x14ac:dyDescent="0.3">
      <c r="A277" s="8" t="s">
        <v>23</v>
      </c>
      <c r="B277" s="8">
        <f>VLOOKUP(A277,Operations!$A$3:$B$132,2,TRUE)</f>
        <v>1</v>
      </c>
      <c r="C277" s="8" t="str">
        <f>VLOOKUP(A277,Operations!$A$3:$C$132,3,0)</f>
        <v xml:space="preserve">Nối bo cổ RIB </v>
      </c>
      <c r="D277" s="2" t="s">
        <v>151</v>
      </c>
      <c r="E277" s="2">
        <f>IFERROR(INDEX(Operations!$H$3:$K$132,MATCH(A277,Operations!$A$3:$A$132,0),MATCH(Link!D277,Operations!$H$2:$K$2,0)),"")</f>
        <v>0</v>
      </c>
      <c r="F277" t="b">
        <f>IF(E277&lt;&gt;0,IFERROR(VLOOKUP(A277,Operations!$A$3:$F$132,6,FALSE)*INDEX(Operations!$L$3:$O$132,MATCH(Link!A277,Operations!$A$3:$A$132,0),MATCH(Link!D277,Operations!$L$2:$O$2,0)),0))</f>
        <v>0</v>
      </c>
      <c r="G277" s="29" t="e">
        <f>ROUND((3600*F277/SUMIF($E$2:$E$521,E277,$F$2:$F$521))/VLOOKUP(A277,Operations!$A$3:$F$132,6,FALSE),0)</f>
        <v>#DIV/0!</v>
      </c>
      <c r="H277" s="28" t="e">
        <f t="shared" si="4"/>
        <v>#DIV/0!</v>
      </c>
    </row>
    <row r="278" spans="1:8" x14ac:dyDescent="0.3">
      <c r="A278" s="8" t="s">
        <v>24</v>
      </c>
      <c r="B278" s="8">
        <f>VLOOKUP(A278,Operations!$A$3:$B$132,2,TRUE)</f>
        <v>0</v>
      </c>
      <c r="C278" s="8">
        <f>VLOOKUP(A278,Operations!$A$3:$C$132,3,0)</f>
        <v>0</v>
      </c>
      <c r="D278" s="2" t="s">
        <v>151</v>
      </c>
      <c r="E278" s="2">
        <f>IFERROR(INDEX(Operations!$H$3:$K$132,MATCH(A278,Operations!$A$3:$A$132,0),MATCH(Link!D278,Operations!$H$2:$K$2,0)),"")</f>
        <v>0</v>
      </c>
      <c r="F278" t="b">
        <f>IF(E278&lt;&gt;0,IFERROR(VLOOKUP(A278,Operations!$A$3:$F$132,6,FALSE)*INDEX(Operations!$L$3:$O$132,MATCH(Link!A278,Operations!$A$3:$A$132,0),MATCH(Link!D278,Operations!$L$2:$O$2,0)),0))</f>
        <v>0</v>
      </c>
      <c r="G278" s="29" t="e">
        <f>ROUND((3600*F278/SUMIF($E$2:$E$521,E278,$F$2:$F$521))/VLOOKUP(A278,Operations!$A$3:$F$132,6,FALSE),0)</f>
        <v>#DIV/0!</v>
      </c>
      <c r="H278" s="28" t="e">
        <f t="shared" si="4"/>
        <v>#DIV/0!</v>
      </c>
    </row>
    <row r="279" spans="1:8" x14ac:dyDescent="0.3">
      <c r="A279" s="8" t="s">
        <v>25</v>
      </c>
      <c r="B279" s="8">
        <f>VLOOKUP(A279,Operations!$A$3:$B$132,2,TRUE)</f>
        <v>0</v>
      </c>
      <c r="C279" s="8">
        <f>VLOOKUP(A279,Operations!$A$3:$C$132,3,0)</f>
        <v>0</v>
      </c>
      <c r="D279" s="2" t="s">
        <v>151</v>
      </c>
      <c r="E279" s="2">
        <f>IFERROR(INDEX(Operations!$H$3:$K$132,MATCH(A279,Operations!$A$3:$A$132,0),MATCH(Link!D279,Operations!$H$2:$K$2,0)),"")</f>
        <v>0</v>
      </c>
      <c r="F279" t="b">
        <f>IF(E279&lt;&gt;0,IFERROR(VLOOKUP(A279,Operations!$A$3:$F$132,6,FALSE)*INDEX(Operations!$L$3:$O$132,MATCH(Link!A279,Operations!$A$3:$A$132,0),MATCH(Link!D279,Operations!$L$2:$O$2,0)),0))</f>
        <v>0</v>
      </c>
      <c r="G279" s="29" t="e">
        <f>ROUND((3600*F279/SUMIF($E$2:$E$521,E279,$F$2:$F$521))/VLOOKUP(A279,Operations!$A$3:$F$132,6,FALSE),0)</f>
        <v>#DIV/0!</v>
      </c>
      <c r="H279" s="28" t="e">
        <f t="shared" si="4"/>
        <v>#DIV/0!</v>
      </c>
    </row>
    <row r="280" spans="1:8" x14ac:dyDescent="0.3">
      <c r="A280" s="8" t="s">
        <v>26</v>
      </c>
      <c r="B280" s="8">
        <f>VLOOKUP(A280,Operations!$A$3:$B$132,2,TRUE)</f>
        <v>0</v>
      </c>
      <c r="C280" s="8">
        <f>VLOOKUP(A280,Operations!$A$3:$C$132,3,0)</f>
        <v>0</v>
      </c>
      <c r="D280" s="2" t="s">
        <v>151</v>
      </c>
      <c r="E280" s="2">
        <f>IFERROR(INDEX(Operations!$H$3:$K$132,MATCH(A280,Operations!$A$3:$A$132,0),MATCH(Link!D280,Operations!$H$2:$K$2,0)),"")</f>
        <v>0</v>
      </c>
      <c r="F280" t="b">
        <f>IF(E280&lt;&gt;0,IFERROR(VLOOKUP(A280,Operations!$A$3:$F$132,6,FALSE)*INDEX(Operations!$L$3:$O$132,MATCH(Link!A280,Operations!$A$3:$A$132,0),MATCH(Link!D280,Operations!$L$2:$O$2,0)),0))</f>
        <v>0</v>
      </c>
      <c r="G280" s="29" t="e">
        <f>ROUND((3600*F280/SUMIF($E$2:$E$521,E280,$F$2:$F$521))/VLOOKUP(A280,Operations!$A$3:$F$132,6,FALSE),0)</f>
        <v>#DIV/0!</v>
      </c>
      <c r="H280" s="28" t="e">
        <f t="shared" si="4"/>
        <v>#DIV/0!</v>
      </c>
    </row>
    <row r="281" spans="1:8" x14ac:dyDescent="0.3">
      <c r="A281" s="8" t="s">
        <v>27</v>
      </c>
      <c r="B281" s="8">
        <f>VLOOKUP(A281,Operations!$A$3:$B$132,2,TRUE)</f>
        <v>0</v>
      </c>
      <c r="C281" s="8">
        <f>VLOOKUP(A281,Operations!$A$3:$C$132,3,0)</f>
        <v>0</v>
      </c>
      <c r="D281" s="2" t="s">
        <v>151</v>
      </c>
      <c r="E281" s="2">
        <f>IFERROR(INDEX(Operations!$H$3:$K$132,MATCH(A281,Operations!$A$3:$A$132,0),MATCH(Link!D281,Operations!$H$2:$K$2,0)),"")</f>
        <v>0</v>
      </c>
      <c r="F281" t="b">
        <f>IF(E281&lt;&gt;0,IFERROR(VLOOKUP(A281,Operations!$A$3:$F$132,6,FALSE)*INDEX(Operations!$L$3:$O$132,MATCH(Link!A281,Operations!$A$3:$A$132,0),MATCH(Link!D281,Operations!$L$2:$O$2,0)),0))</f>
        <v>0</v>
      </c>
      <c r="G281" s="29" t="e">
        <f>ROUND((3600*F281/SUMIF($E$2:$E$521,E281,$F$2:$F$521))/VLOOKUP(A281,Operations!$A$3:$F$132,6,FALSE),0)</f>
        <v>#DIV/0!</v>
      </c>
      <c r="H281" s="28" t="e">
        <f t="shared" si="4"/>
        <v>#DIV/0!</v>
      </c>
    </row>
    <row r="282" spans="1:8" x14ac:dyDescent="0.3">
      <c r="A282" s="8" t="s">
        <v>28</v>
      </c>
      <c r="B282" s="8">
        <f>VLOOKUP(A282,Operations!$A$3:$B$132,2,TRUE)</f>
        <v>0</v>
      </c>
      <c r="C282" s="8">
        <f>VLOOKUP(A282,Operations!$A$3:$C$132,3,0)</f>
        <v>0</v>
      </c>
      <c r="D282" s="2" t="s">
        <v>151</v>
      </c>
      <c r="E282" s="2">
        <f>IFERROR(INDEX(Operations!$H$3:$K$132,MATCH(A282,Operations!$A$3:$A$132,0),MATCH(Link!D282,Operations!$H$2:$K$2,0)),"")</f>
        <v>0</v>
      </c>
      <c r="F282" t="b">
        <f>IF(E282&lt;&gt;0,IFERROR(VLOOKUP(A282,Operations!$A$3:$F$132,6,FALSE)*INDEX(Operations!$L$3:$O$132,MATCH(Link!A282,Operations!$A$3:$A$132,0),MATCH(Link!D282,Operations!$L$2:$O$2,0)),0))</f>
        <v>0</v>
      </c>
      <c r="G282" s="29" t="e">
        <f>ROUND((3600*F282/SUMIF($E$2:$E$521,E282,$F$2:$F$521))/VLOOKUP(A282,Operations!$A$3:$F$132,6,FALSE),0)</f>
        <v>#DIV/0!</v>
      </c>
      <c r="H282" s="28" t="e">
        <f t="shared" si="4"/>
        <v>#DIV/0!</v>
      </c>
    </row>
    <row r="283" spans="1:8" x14ac:dyDescent="0.3">
      <c r="A283" s="8" t="s">
        <v>29</v>
      </c>
      <c r="B283" s="8">
        <f>VLOOKUP(A283,Operations!$A$3:$B$132,2,TRUE)</f>
        <v>0</v>
      </c>
      <c r="C283" s="8">
        <f>VLOOKUP(A283,Operations!$A$3:$C$132,3,0)</f>
        <v>0</v>
      </c>
      <c r="D283" s="2" t="s">
        <v>151</v>
      </c>
      <c r="E283" s="2">
        <f>IFERROR(INDEX(Operations!$H$3:$K$132,MATCH(A283,Operations!$A$3:$A$132,0),MATCH(Link!D283,Operations!$H$2:$K$2,0)),"")</f>
        <v>0</v>
      </c>
      <c r="F283" t="b">
        <f>IF(E283&lt;&gt;0,IFERROR(VLOOKUP(A283,Operations!$A$3:$F$132,6,FALSE)*INDEX(Operations!$L$3:$O$132,MATCH(Link!A283,Operations!$A$3:$A$132,0),MATCH(Link!D283,Operations!$L$2:$O$2,0)),0))</f>
        <v>0</v>
      </c>
      <c r="G283" s="29" t="e">
        <f>ROUND((3600*F283/SUMIF($E$2:$E$521,E283,$F$2:$F$521))/VLOOKUP(A283,Operations!$A$3:$F$132,6,FALSE),0)</f>
        <v>#DIV/0!</v>
      </c>
      <c r="H283" s="28" t="e">
        <f t="shared" si="4"/>
        <v>#DIV/0!</v>
      </c>
    </row>
    <row r="284" spans="1:8" x14ac:dyDescent="0.3">
      <c r="A284" s="8" t="s">
        <v>30</v>
      </c>
      <c r="B284" s="8">
        <f>VLOOKUP(A284,Operations!$A$3:$B$132,2,TRUE)</f>
        <v>0</v>
      </c>
      <c r="C284" s="8">
        <f>VLOOKUP(A284,Operations!$A$3:$C$132,3,0)</f>
        <v>0</v>
      </c>
      <c r="D284" s="2" t="s">
        <v>151</v>
      </c>
      <c r="E284" s="2">
        <f>IFERROR(INDEX(Operations!$H$3:$K$132,MATCH(A284,Operations!$A$3:$A$132,0),MATCH(Link!D284,Operations!$H$2:$K$2,0)),"")</f>
        <v>0</v>
      </c>
      <c r="F284" t="b">
        <f>IF(E284&lt;&gt;0,IFERROR(VLOOKUP(A284,Operations!$A$3:$F$132,6,FALSE)*INDEX(Operations!$L$3:$O$132,MATCH(Link!A284,Operations!$A$3:$A$132,0),MATCH(Link!D284,Operations!$L$2:$O$2,0)),0))</f>
        <v>0</v>
      </c>
      <c r="G284" s="29" t="e">
        <f>ROUND((3600*F284/SUMIF($E$2:$E$521,E284,$F$2:$F$521))/VLOOKUP(A284,Operations!$A$3:$F$132,6,FALSE),0)</f>
        <v>#DIV/0!</v>
      </c>
      <c r="H284" s="28" t="e">
        <f t="shared" si="4"/>
        <v>#DIV/0!</v>
      </c>
    </row>
    <row r="285" spans="1:8" x14ac:dyDescent="0.3">
      <c r="A285" s="8" t="s">
        <v>31</v>
      </c>
      <c r="B285" s="8">
        <f>VLOOKUP(A285,Operations!$A$3:$B$132,2,TRUE)</f>
        <v>0</v>
      </c>
      <c r="C285" s="8">
        <f>VLOOKUP(A285,Operations!$A$3:$C$132,3,0)</f>
        <v>0</v>
      </c>
      <c r="D285" s="2" t="s">
        <v>151</v>
      </c>
      <c r="E285" s="2">
        <f>IFERROR(INDEX(Operations!$H$3:$K$132,MATCH(A285,Operations!$A$3:$A$132,0),MATCH(Link!D285,Operations!$H$2:$K$2,0)),"")</f>
        <v>0</v>
      </c>
      <c r="F285" t="b">
        <f>IF(E285&lt;&gt;0,IFERROR(VLOOKUP(A285,Operations!$A$3:$F$132,6,FALSE)*INDEX(Operations!$L$3:$O$132,MATCH(Link!A285,Operations!$A$3:$A$132,0),MATCH(Link!D285,Operations!$L$2:$O$2,0)),0))</f>
        <v>0</v>
      </c>
      <c r="G285" s="29" t="e">
        <f>ROUND((3600*F285/SUMIF($E$2:$E$521,E285,$F$2:$F$521))/VLOOKUP(A285,Operations!$A$3:$F$132,6,FALSE),0)</f>
        <v>#DIV/0!</v>
      </c>
      <c r="H285" s="28" t="e">
        <f t="shared" si="4"/>
        <v>#DIV/0!</v>
      </c>
    </row>
    <row r="286" spans="1:8" x14ac:dyDescent="0.3">
      <c r="A286" s="8" t="s">
        <v>32</v>
      </c>
      <c r="B286" s="8">
        <f>VLOOKUP(A286,Operations!$A$3:$B$132,2,TRUE)</f>
        <v>0</v>
      </c>
      <c r="C286" s="8">
        <f>VLOOKUP(A286,Operations!$A$3:$C$132,3,0)</f>
        <v>0</v>
      </c>
      <c r="D286" s="2" t="s">
        <v>151</v>
      </c>
      <c r="E286" s="2">
        <f>IFERROR(INDEX(Operations!$H$3:$K$132,MATCH(A286,Operations!$A$3:$A$132,0),MATCH(Link!D286,Operations!$H$2:$K$2,0)),"")</f>
        <v>0</v>
      </c>
      <c r="F286" t="b">
        <f>IF(E286&lt;&gt;0,IFERROR(VLOOKUP(A286,Operations!$A$3:$F$132,6,FALSE)*INDEX(Operations!$L$3:$O$132,MATCH(Link!A286,Operations!$A$3:$A$132,0),MATCH(Link!D286,Operations!$L$2:$O$2,0)),0))</f>
        <v>0</v>
      </c>
      <c r="G286" s="29" t="e">
        <f>ROUND((3600*F286/SUMIF($E$2:$E$521,E286,$F$2:$F$521))/VLOOKUP(A286,Operations!$A$3:$F$132,6,FALSE),0)</f>
        <v>#DIV/0!</v>
      </c>
      <c r="H286" s="28" t="e">
        <f t="shared" si="4"/>
        <v>#DIV/0!</v>
      </c>
    </row>
    <row r="287" spans="1:8" x14ac:dyDescent="0.3">
      <c r="A287" s="8" t="s">
        <v>33</v>
      </c>
      <c r="B287" s="8">
        <f>VLOOKUP(A287,Operations!$A$3:$B$132,2,TRUE)</f>
        <v>0</v>
      </c>
      <c r="C287" s="8">
        <f>VLOOKUP(A287,Operations!$A$3:$C$132,3,0)</f>
        <v>0</v>
      </c>
      <c r="D287" s="2" t="s">
        <v>151</v>
      </c>
      <c r="E287" s="2">
        <f>IFERROR(INDEX(Operations!$H$3:$K$132,MATCH(A287,Operations!$A$3:$A$132,0),MATCH(Link!D287,Operations!$H$2:$K$2,0)),"")</f>
        <v>0</v>
      </c>
      <c r="F287" t="b">
        <f>IF(E287&lt;&gt;0,IFERROR(VLOOKUP(A287,Operations!$A$3:$F$132,6,FALSE)*INDEX(Operations!$L$3:$O$132,MATCH(Link!A287,Operations!$A$3:$A$132,0),MATCH(Link!D287,Operations!$L$2:$O$2,0)),0))</f>
        <v>0</v>
      </c>
      <c r="G287" s="29" t="e">
        <f>ROUND((3600*F287/SUMIF($E$2:$E$521,E287,$F$2:$F$521))/VLOOKUP(A287,Operations!$A$3:$F$132,6,FALSE),0)</f>
        <v>#DIV/0!</v>
      </c>
      <c r="H287" s="28" t="e">
        <f t="shared" si="4"/>
        <v>#DIV/0!</v>
      </c>
    </row>
    <row r="288" spans="1:8" x14ac:dyDescent="0.3">
      <c r="A288" s="8" t="s">
        <v>34</v>
      </c>
      <c r="B288" s="8">
        <f>VLOOKUP(A288,Operations!$A$3:$B$132,2,TRUE)</f>
        <v>0</v>
      </c>
      <c r="C288" s="8">
        <f>VLOOKUP(A288,Operations!$A$3:$C$132,3,0)</f>
        <v>0</v>
      </c>
      <c r="D288" s="2" t="s">
        <v>151</v>
      </c>
      <c r="E288" s="2">
        <f>IFERROR(INDEX(Operations!$H$3:$K$132,MATCH(A288,Operations!$A$3:$A$132,0),MATCH(Link!D288,Operations!$H$2:$K$2,0)),"")</f>
        <v>0</v>
      </c>
      <c r="F288" t="b">
        <f>IF(E288&lt;&gt;0,IFERROR(VLOOKUP(A288,Operations!$A$3:$F$132,6,FALSE)*INDEX(Operations!$L$3:$O$132,MATCH(Link!A288,Operations!$A$3:$A$132,0),MATCH(Link!D288,Operations!$L$2:$O$2,0)),0))</f>
        <v>0</v>
      </c>
      <c r="G288" s="29" t="e">
        <f>ROUND((3600*F288/SUMIF($E$2:$E$521,E288,$F$2:$F$521))/VLOOKUP(A288,Operations!$A$3:$F$132,6,FALSE),0)</f>
        <v>#DIV/0!</v>
      </c>
      <c r="H288" s="28" t="e">
        <f t="shared" si="4"/>
        <v>#DIV/0!</v>
      </c>
    </row>
    <row r="289" spans="1:8" x14ac:dyDescent="0.3">
      <c r="A289" s="8" t="s">
        <v>35</v>
      </c>
      <c r="B289" s="8">
        <f>VLOOKUP(A289,Operations!$A$3:$B$132,2,TRUE)</f>
        <v>0</v>
      </c>
      <c r="C289" s="8">
        <f>VLOOKUP(A289,Operations!$A$3:$C$132,3,0)</f>
        <v>0</v>
      </c>
      <c r="D289" s="2" t="s">
        <v>151</v>
      </c>
      <c r="E289" s="2">
        <f>IFERROR(INDEX(Operations!$H$3:$K$132,MATCH(A289,Operations!$A$3:$A$132,0),MATCH(Link!D289,Operations!$H$2:$K$2,0)),"")</f>
        <v>0</v>
      </c>
      <c r="F289" t="b">
        <f>IF(E289&lt;&gt;0,IFERROR(VLOOKUP(A289,Operations!$A$3:$F$132,6,FALSE)*INDEX(Operations!$L$3:$O$132,MATCH(Link!A289,Operations!$A$3:$A$132,0),MATCH(Link!D289,Operations!$L$2:$O$2,0)),0))</f>
        <v>0</v>
      </c>
      <c r="G289" s="29" t="e">
        <f>ROUND((3600*F289/SUMIF($E$2:$E$521,E289,$F$2:$F$521))/VLOOKUP(A289,Operations!$A$3:$F$132,6,FALSE),0)</f>
        <v>#DIV/0!</v>
      </c>
      <c r="H289" s="28" t="e">
        <f t="shared" si="4"/>
        <v>#DIV/0!</v>
      </c>
    </row>
    <row r="290" spans="1:8" x14ac:dyDescent="0.3">
      <c r="A290" s="8" t="s">
        <v>36</v>
      </c>
      <c r="B290" s="8">
        <f>VLOOKUP(A290,Operations!$A$3:$B$132,2,TRUE)</f>
        <v>0</v>
      </c>
      <c r="C290" s="8">
        <f>VLOOKUP(A290,Operations!$A$3:$C$132,3,0)</f>
        <v>0</v>
      </c>
      <c r="D290" s="2" t="s">
        <v>151</v>
      </c>
      <c r="E290" s="2">
        <f>IFERROR(INDEX(Operations!$H$3:$K$132,MATCH(A290,Operations!$A$3:$A$132,0),MATCH(Link!D290,Operations!$H$2:$K$2,0)),"")</f>
        <v>0</v>
      </c>
      <c r="F290" t="b">
        <f>IF(E290&lt;&gt;0,IFERROR(VLOOKUP(A290,Operations!$A$3:$F$132,6,FALSE)*INDEX(Operations!$L$3:$O$132,MATCH(Link!A290,Operations!$A$3:$A$132,0),MATCH(Link!D290,Operations!$L$2:$O$2,0)),0))</f>
        <v>0</v>
      </c>
      <c r="G290" s="29" t="e">
        <f>ROUND((3600*F290/SUMIF($E$2:$E$521,E290,$F$2:$F$521))/VLOOKUP(A290,Operations!$A$3:$F$132,6,FALSE),0)</f>
        <v>#DIV/0!</v>
      </c>
      <c r="H290" s="28" t="e">
        <f t="shared" si="4"/>
        <v>#DIV/0!</v>
      </c>
    </row>
    <row r="291" spans="1:8" x14ac:dyDescent="0.3">
      <c r="A291" s="8" t="s">
        <v>37</v>
      </c>
      <c r="B291" s="8">
        <f>VLOOKUP(A291,Operations!$A$3:$B$132,2,TRUE)</f>
        <v>0</v>
      </c>
      <c r="C291" s="8">
        <f>VLOOKUP(A291,Operations!$A$3:$C$132,3,0)</f>
        <v>0</v>
      </c>
      <c r="D291" s="2" t="s">
        <v>151</v>
      </c>
      <c r="E291" s="2">
        <f>IFERROR(INDEX(Operations!$H$3:$K$132,MATCH(A291,Operations!$A$3:$A$132,0),MATCH(Link!D291,Operations!$H$2:$K$2,0)),"")</f>
        <v>0</v>
      </c>
      <c r="F291" t="b">
        <f>IF(E291&lt;&gt;0,IFERROR(VLOOKUP(A291,Operations!$A$3:$F$132,6,FALSE)*INDEX(Operations!$L$3:$O$132,MATCH(Link!A291,Operations!$A$3:$A$132,0),MATCH(Link!D291,Operations!$L$2:$O$2,0)),0))</f>
        <v>0</v>
      </c>
      <c r="G291" s="29" t="e">
        <f>ROUND((3600*F291/SUMIF($E$2:$E$521,E291,$F$2:$F$521))/VLOOKUP(A291,Operations!$A$3:$F$132,6,FALSE),0)</f>
        <v>#DIV/0!</v>
      </c>
      <c r="H291" s="28" t="e">
        <f t="shared" si="4"/>
        <v>#DIV/0!</v>
      </c>
    </row>
    <row r="292" spans="1:8" x14ac:dyDescent="0.3">
      <c r="A292" s="8" t="s">
        <v>38</v>
      </c>
      <c r="B292" s="8">
        <f>VLOOKUP(A292,Operations!$A$3:$B$132,2,TRUE)</f>
        <v>0</v>
      </c>
      <c r="C292" s="8">
        <f>VLOOKUP(A292,Operations!$A$3:$C$132,3,0)</f>
        <v>0</v>
      </c>
      <c r="D292" s="2" t="s">
        <v>151</v>
      </c>
      <c r="E292" s="2">
        <f>IFERROR(INDEX(Operations!$H$3:$K$132,MATCH(A292,Operations!$A$3:$A$132,0),MATCH(Link!D292,Operations!$H$2:$K$2,0)),"")</f>
        <v>0</v>
      </c>
      <c r="F292" t="b">
        <f>IF(E292&lt;&gt;0,IFERROR(VLOOKUP(A292,Operations!$A$3:$F$132,6,FALSE)*INDEX(Operations!$L$3:$O$132,MATCH(Link!A292,Operations!$A$3:$A$132,0),MATCH(Link!D292,Operations!$L$2:$O$2,0)),0))</f>
        <v>0</v>
      </c>
      <c r="G292" s="29" t="e">
        <f>ROUND((3600*F292/SUMIF($E$2:$E$521,E292,$F$2:$F$521))/VLOOKUP(A292,Operations!$A$3:$F$132,6,FALSE),0)</f>
        <v>#DIV/0!</v>
      </c>
      <c r="H292" s="28" t="e">
        <f t="shared" si="4"/>
        <v>#DIV/0!</v>
      </c>
    </row>
    <row r="293" spans="1:8" x14ac:dyDescent="0.3">
      <c r="A293" s="8" t="s">
        <v>39</v>
      </c>
      <c r="B293" s="8">
        <f>VLOOKUP(A293,Operations!$A$3:$B$132,2,TRUE)</f>
        <v>0</v>
      </c>
      <c r="C293" s="8">
        <f>VLOOKUP(A293,Operations!$A$3:$C$132,3,0)</f>
        <v>0</v>
      </c>
      <c r="D293" s="2" t="s">
        <v>151</v>
      </c>
      <c r="E293" s="2">
        <f>IFERROR(INDEX(Operations!$H$3:$K$132,MATCH(A293,Operations!$A$3:$A$132,0),MATCH(Link!D293,Operations!$H$2:$K$2,0)),"")</f>
        <v>0</v>
      </c>
      <c r="F293" t="b">
        <f>IF(E293&lt;&gt;0,IFERROR(VLOOKUP(A293,Operations!$A$3:$F$132,6,FALSE)*INDEX(Operations!$L$3:$O$132,MATCH(Link!A293,Operations!$A$3:$A$132,0),MATCH(Link!D293,Operations!$L$2:$O$2,0)),0))</f>
        <v>0</v>
      </c>
      <c r="G293" s="29" t="e">
        <f>ROUND((3600*F293/SUMIF($E$2:$E$521,E293,$F$2:$F$521))/VLOOKUP(A293,Operations!$A$3:$F$132,6,FALSE),0)</f>
        <v>#DIV/0!</v>
      </c>
      <c r="H293" s="28" t="e">
        <f t="shared" si="4"/>
        <v>#DIV/0!</v>
      </c>
    </row>
    <row r="294" spans="1:8" x14ac:dyDescent="0.3">
      <c r="A294" s="8" t="s">
        <v>40</v>
      </c>
      <c r="B294" s="8">
        <f>VLOOKUP(A294,Operations!$A$3:$B$132,2,TRUE)</f>
        <v>0</v>
      </c>
      <c r="C294" s="8">
        <f>VLOOKUP(A294,Operations!$A$3:$C$132,3,0)</f>
        <v>0</v>
      </c>
      <c r="D294" s="2" t="s">
        <v>151</v>
      </c>
      <c r="E294" s="2">
        <f>IFERROR(INDEX(Operations!$H$3:$K$132,MATCH(A294,Operations!$A$3:$A$132,0),MATCH(Link!D294,Operations!$H$2:$K$2,0)),"")</f>
        <v>0</v>
      </c>
      <c r="F294" t="b">
        <f>IF(E294&lt;&gt;0,IFERROR(VLOOKUP(A294,Operations!$A$3:$F$132,6,FALSE)*INDEX(Operations!$L$3:$O$132,MATCH(Link!A294,Operations!$A$3:$A$132,0),MATCH(Link!D294,Operations!$L$2:$O$2,0)),0))</f>
        <v>0</v>
      </c>
      <c r="G294" s="29" t="e">
        <f>ROUND((3600*F294/SUMIF($E$2:$E$521,E294,$F$2:$F$521))/VLOOKUP(A294,Operations!$A$3:$F$132,6,FALSE),0)</f>
        <v>#DIV/0!</v>
      </c>
      <c r="H294" s="28" t="e">
        <f t="shared" si="4"/>
        <v>#DIV/0!</v>
      </c>
    </row>
    <row r="295" spans="1:8" x14ac:dyDescent="0.3">
      <c r="A295" s="8" t="s">
        <v>41</v>
      </c>
      <c r="B295" s="8">
        <f>VLOOKUP(A295,Operations!$A$3:$B$132,2,TRUE)</f>
        <v>0</v>
      </c>
      <c r="C295" s="8">
        <f>VLOOKUP(A295,Operations!$A$3:$C$132,3,0)</f>
        <v>0</v>
      </c>
      <c r="D295" s="2" t="s">
        <v>151</v>
      </c>
      <c r="E295" s="2">
        <f>IFERROR(INDEX(Operations!$H$3:$K$132,MATCH(A295,Operations!$A$3:$A$132,0),MATCH(Link!D295,Operations!$H$2:$K$2,0)),"")</f>
        <v>0</v>
      </c>
      <c r="F295" t="b">
        <f>IF(E295&lt;&gt;0,IFERROR(VLOOKUP(A295,Operations!$A$3:$F$132,6,FALSE)*INDEX(Operations!$L$3:$O$132,MATCH(Link!A295,Operations!$A$3:$A$132,0),MATCH(Link!D295,Operations!$L$2:$O$2,0)),0))</f>
        <v>0</v>
      </c>
      <c r="G295" s="29" t="e">
        <f>ROUND((3600*F295/SUMIF($E$2:$E$521,E295,$F$2:$F$521))/VLOOKUP(A295,Operations!$A$3:$F$132,6,FALSE),0)</f>
        <v>#DIV/0!</v>
      </c>
      <c r="H295" s="28" t="e">
        <f t="shared" si="4"/>
        <v>#DIV/0!</v>
      </c>
    </row>
    <row r="296" spans="1:8" x14ac:dyDescent="0.3">
      <c r="A296" s="8" t="s">
        <v>42</v>
      </c>
      <c r="B296" s="8">
        <f>VLOOKUP(A296,Operations!$A$3:$B$132,2,TRUE)</f>
        <v>0</v>
      </c>
      <c r="C296" s="8">
        <f>VLOOKUP(A296,Operations!$A$3:$C$132,3,0)</f>
        <v>0</v>
      </c>
      <c r="D296" s="2" t="s">
        <v>151</v>
      </c>
      <c r="E296" s="2">
        <f>IFERROR(INDEX(Operations!$H$3:$K$132,MATCH(A296,Operations!$A$3:$A$132,0),MATCH(Link!D296,Operations!$H$2:$K$2,0)),"")</f>
        <v>0</v>
      </c>
      <c r="F296" t="b">
        <f>IF(E296&lt;&gt;0,IFERROR(VLOOKUP(A296,Operations!$A$3:$F$132,6,FALSE)*INDEX(Operations!$L$3:$O$132,MATCH(Link!A296,Operations!$A$3:$A$132,0),MATCH(Link!D296,Operations!$L$2:$O$2,0)),0))</f>
        <v>0</v>
      </c>
      <c r="G296" s="29" t="e">
        <f>ROUND((3600*F296/SUMIF($E$2:$E$521,E296,$F$2:$F$521))/VLOOKUP(A296,Operations!$A$3:$F$132,6,FALSE),0)</f>
        <v>#DIV/0!</v>
      </c>
      <c r="H296" s="28" t="e">
        <f t="shared" si="4"/>
        <v>#DIV/0!</v>
      </c>
    </row>
    <row r="297" spans="1:8" x14ac:dyDescent="0.3">
      <c r="A297" s="8" t="s">
        <v>43</v>
      </c>
      <c r="B297" s="8">
        <f>VLOOKUP(A297,Operations!$A$3:$B$132,2,TRUE)</f>
        <v>0</v>
      </c>
      <c r="C297" s="8">
        <f>VLOOKUP(A297,Operations!$A$3:$C$132,3,0)</f>
        <v>0</v>
      </c>
      <c r="D297" s="2" t="s">
        <v>151</v>
      </c>
      <c r="E297" s="2">
        <f>IFERROR(INDEX(Operations!$H$3:$K$132,MATCH(A297,Operations!$A$3:$A$132,0),MATCH(Link!D297,Operations!$H$2:$K$2,0)),"")</f>
        <v>0</v>
      </c>
      <c r="F297" t="b">
        <f>IF(E297&lt;&gt;0,IFERROR(VLOOKUP(A297,Operations!$A$3:$F$132,6,FALSE)*INDEX(Operations!$L$3:$O$132,MATCH(Link!A297,Operations!$A$3:$A$132,0),MATCH(Link!D297,Operations!$L$2:$O$2,0)),0))</f>
        <v>0</v>
      </c>
      <c r="G297" s="29" t="e">
        <f>ROUND((3600*F297/SUMIF($E$2:$E$521,E297,$F$2:$F$521))/VLOOKUP(A297,Operations!$A$3:$F$132,6,FALSE),0)</f>
        <v>#DIV/0!</v>
      </c>
      <c r="H297" s="28" t="e">
        <f t="shared" si="4"/>
        <v>#DIV/0!</v>
      </c>
    </row>
    <row r="298" spans="1:8" x14ac:dyDescent="0.3">
      <c r="A298" s="8" t="s">
        <v>44</v>
      </c>
      <c r="B298" s="8">
        <f>VLOOKUP(A298,Operations!$A$3:$B$132,2,TRUE)</f>
        <v>0</v>
      </c>
      <c r="C298" s="8">
        <f>VLOOKUP(A298,Operations!$A$3:$C$132,3,0)</f>
        <v>0</v>
      </c>
      <c r="D298" s="2" t="s">
        <v>151</v>
      </c>
      <c r="E298" s="2">
        <f>IFERROR(INDEX(Operations!$H$3:$K$132,MATCH(A298,Operations!$A$3:$A$132,0),MATCH(Link!D298,Operations!$H$2:$K$2,0)),"")</f>
        <v>0</v>
      </c>
      <c r="F298" t="b">
        <f>IF(E298&lt;&gt;0,IFERROR(VLOOKUP(A298,Operations!$A$3:$F$132,6,FALSE)*INDEX(Operations!$L$3:$O$132,MATCH(Link!A298,Operations!$A$3:$A$132,0),MATCH(Link!D298,Operations!$L$2:$O$2,0)),0))</f>
        <v>0</v>
      </c>
      <c r="G298" s="29" t="e">
        <f>ROUND((3600*F298/SUMIF($E$2:$E$521,E298,$F$2:$F$521))/VLOOKUP(A298,Operations!$A$3:$F$132,6,FALSE),0)</f>
        <v>#DIV/0!</v>
      </c>
      <c r="H298" s="28" t="e">
        <f t="shared" si="4"/>
        <v>#DIV/0!</v>
      </c>
    </row>
    <row r="299" spans="1:8" x14ac:dyDescent="0.3">
      <c r="A299" s="8" t="s">
        <v>45</v>
      </c>
      <c r="B299" s="8">
        <f>VLOOKUP(A299,Operations!$A$3:$B$132,2,TRUE)</f>
        <v>0</v>
      </c>
      <c r="C299" s="8">
        <f>VLOOKUP(A299,Operations!$A$3:$C$132,3,0)</f>
        <v>0</v>
      </c>
      <c r="D299" s="2" t="s">
        <v>151</v>
      </c>
      <c r="E299" s="2">
        <f>IFERROR(INDEX(Operations!$H$3:$K$132,MATCH(A299,Operations!$A$3:$A$132,0),MATCH(Link!D299,Operations!$H$2:$K$2,0)),"")</f>
        <v>0</v>
      </c>
      <c r="F299" t="b">
        <f>IF(E299&lt;&gt;0,IFERROR(VLOOKUP(A299,Operations!$A$3:$F$132,6,FALSE)*INDEX(Operations!$L$3:$O$132,MATCH(Link!A299,Operations!$A$3:$A$132,0),MATCH(Link!D299,Operations!$L$2:$O$2,0)),0))</f>
        <v>0</v>
      </c>
      <c r="G299" s="29" t="e">
        <f>ROUND((3600*F299/SUMIF($E$2:$E$521,E299,$F$2:$F$521))/VLOOKUP(A299,Operations!$A$3:$F$132,6,FALSE),0)</f>
        <v>#DIV/0!</v>
      </c>
      <c r="H299" s="28" t="e">
        <f t="shared" si="4"/>
        <v>#DIV/0!</v>
      </c>
    </row>
    <row r="300" spans="1:8" x14ac:dyDescent="0.3">
      <c r="A300" s="8" t="s">
        <v>46</v>
      </c>
      <c r="B300" s="8">
        <f>VLOOKUP(A300,Operations!$A$3:$B$132,2,TRUE)</f>
        <v>0</v>
      </c>
      <c r="C300" s="8">
        <f>VLOOKUP(A300,Operations!$A$3:$C$132,3,0)</f>
        <v>0</v>
      </c>
      <c r="D300" s="2" t="s">
        <v>151</v>
      </c>
      <c r="E300" s="2">
        <f>IFERROR(INDEX(Operations!$H$3:$K$132,MATCH(A300,Operations!$A$3:$A$132,0),MATCH(Link!D300,Operations!$H$2:$K$2,0)),"")</f>
        <v>0</v>
      </c>
      <c r="F300" t="b">
        <f>IF(E300&lt;&gt;0,IFERROR(VLOOKUP(A300,Operations!$A$3:$F$132,6,FALSE)*INDEX(Operations!$L$3:$O$132,MATCH(Link!A300,Operations!$A$3:$A$132,0),MATCH(Link!D300,Operations!$L$2:$O$2,0)),0))</f>
        <v>0</v>
      </c>
      <c r="G300" s="29" t="e">
        <f>ROUND((3600*F300/SUMIF($E$2:$E$521,E300,$F$2:$F$521))/VLOOKUP(A300,Operations!$A$3:$F$132,6,FALSE),0)</f>
        <v>#DIV/0!</v>
      </c>
      <c r="H300" s="28" t="e">
        <f t="shared" si="4"/>
        <v>#DIV/0!</v>
      </c>
    </row>
    <row r="301" spans="1:8" x14ac:dyDescent="0.3">
      <c r="A301" s="8" t="s">
        <v>47</v>
      </c>
      <c r="B301" s="8">
        <f>VLOOKUP(A301,Operations!$A$3:$B$132,2,TRUE)</f>
        <v>0</v>
      </c>
      <c r="C301" s="8">
        <f>VLOOKUP(A301,Operations!$A$3:$C$132,3,0)</f>
        <v>0</v>
      </c>
      <c r="D301" s="2" t="s">
        <v>151</v>
      </c>
      <c r="E301" s="2">
        <f>IFERROR(INDEX(Operations!$H$3:$K$132,MATCH(A301,Operations!$A$3:$A$132,0),MATCH(Link!D301,Operations!$H$2:$K$2,0)),"")</f>
        <v>0</v>
      </c>
      <c r="F301" t="b">
        <f>IF(E301&lt;&gt;0,IFERROR(VLOOKUP(A301,Operations!$A$3:$F$132,6,FALSE)*INDEX(Operations!$L$3:$O$132,MATCH(Link!A301,Operations!$A$3:$A$132,0),MATCH(Link!D301,Operations!$L$2:$O$2,0)),0))</f>
        <v>0</v>
      </c>
      <c r="G301" s="29" t="e">
        <f>ROUND((3600*F301/SUMIF($E$2:$E$521,E301,$F$2:$F$521))/VLOOKUP(A301,Operations!$A$3:$F$132,6,FALSE),0)</f>
        <v>#DIV/0!</v>
      </c>
      <c r="H301" s="28" t="e">
        <f t="shared" si="4"/>
        <v>#DIV/0!</v>
      </c>
    </row>
    <row r="302" spans="1:8" x14ac:dyDescent="0.3">
      <c r="A302" s="8" t="s">
        <v>48</v>
      </c>
      <c r="B302" s="8">
        <f>VLOOKUP(A302,Operations!$A$3:$B$132,2,TRUE)</f>
        <v>0</v>
      </c>
      <c r="C302" s="8">
        <f>VLOOKUP(A302,Operations!$A$3:$C$132,3,0)</f>
        <v>0</v>
      </c>
      <c r="D302" s="2" t="s">
        <v>151</v>
      </c>
      <c r="E302" s="2">
        <f>IFERROR(INDEX(Operations!$H$3:$K$132,MATCH(A302,Operations!$A$3:$A$132,0),MATCH(Link!D302,Operations!$H$2:$K$2,0)),"")</f>
        <v>0</v>
      </c>
      <c r="F302" t="b">
        <f>IF(E302&lt;&gt;0,IFERROR(VLOOKUP(A302,Operations!$A$3:$F$132,6,FALSE)*INDEX(Operations!$L$3:$O$132,MATCH(Link!A302,Operations!$A$3:$A$132,0),MATCH(Link!D302,Operations!$L$2:$O$2,0)),0))</f>
        <v>0</v>
      </c>
      <c r="G302" s="29" t="e">
        <f>ROUND((3600*F302/SUMIF($E$2:$E$521,E302,$F$2:$F$521))/VLOOKUP(A302,Operations!$A$3:$F$132,6,FALSE),0)</f>
        <v>#DIV/0!</v>
      </c>
      <c r="H302" s="28" t="e">
        <f t="shared" si="4"/>
        <v>#DIV/0!</v>
      </c>
    </row>
    <row r="303" spans="1:8" x14ac:dyDescent="0.3">
      <c r="A303" s="8" t="s">
        <v>49</v>
      </c>
      <c r="B303" s="8">
        <f>VLOOKUP(A303,Operations!$A$3:$B$132,2,TRUE)</f>
        <v>0</v>
      </c>
      <c r="C303" s="8">
        <f>VLOOKUP(A303,Operations!$A$3:$C$132,3,0)</f>
        <v>0</v>
      </c>
      <c r="D303" s="2" t="s">
        <v>151</v>
      </c>
      <c r="E303" s="2">
        <f>IFERROR(INDEX(Operations!$H$3:$K$132,MATCH(A303,Operations!$A$3:$A$132,0),MATCH(Link!D303,Operations!$H$2:$K$2,0)),"")</f>
        <v>0</v>
      </c>
      <c r="F303" t="b">
        <f>IF(E303&lt;&gt;0,IFERROR(VLOOKUP(A303,Operations!$A$3:$F$132,6,FALSE)*INDEX(Operations!$L$3:$O$132,MATCH(Link!A303,Operations!$A$3:$A$132,0),MATCH(Link!D303,Operations!$L$2:$O$2,0)),0))</f>
        <v>0</v>
      </c>
      <c r="G303" s="29" t="e">
        <f>ROUND((3600*F303/SUMIF($E$2:$E$521,E303,$F$2:$F$521))/VLOOKUP(A303,Operations!$A$3:$F$132,6,FALSE),0)</f>
        <v>#DIV/0!</v>
      </c>
      <c r="H303" s="28" t="e">
        <f t="shared" si="4"/>
        <v>#DIV/0!</v>
      </c>
    </row>
    <row r="304" spans="1:8" x14ac:dyDescent="0.3">
      <c r="A304" s="8" t="s">
        <v>50</v>
      </c>
      <c r="B304" s="8">
        <f>VLOOKUP(A304,Operations!$A$3:$B$132,2,TRUE)</f>
        <v>0</v>
      </c>
      <c r="C304" s="8">
        <f>VLOOKUP(A304,Operations!$A$3:$C$132,3,0)</f>
        <v>0</v>
      </c>
      <c r="D304" s="2" t="s">
        <v>151</v>
      </c>
      <c r="E304" s="2">
        <f>IFERROR(INDEX(Operations!$H$3:$K$132,MATCH(A304,Operations!$A$3:$A$132,0),MATCH(Link!D304,Operations!$H$2:$K$2,0)),"")</f>
        <v>0</v>
      </c>
      <c r="F304" t="b">
        <f>IF(E304&lt;&gt;0,IFERROR(VLOOKUP(A304,Operations!$A$3:$F$132,6,FALSE)*INDEX(Operations!$L$3:$O$132,MATCH(Link!A304,Operations!$A$3:$A$132,0),MATCH(Link!D304,Operations!$L$2:$O$2,0)),0))</f>
        <v>0</v>
      </c>
      <c r="G304" s="29" t="e">
        <f>ROUND((3600*F304/SUMIF($E$2:$E$521,E304,$F$2:$F$521))/VLOOKUP(A304,Operations!$A$3:$F$132,6,FALSE),0)</f>
        <v>#DIV/0!</v>
      </c>
      <c r="H304" s="28" t="e">
        <f t="shared" si="4"/>
        <v>#DIV/0!</v>
      </c>
    </row>
    <row r="305" spans="1:8" x14ac:dyDescent="0.3">
      <c r="A305" s="8" t="s">
        <v>51</v>
      </c>
      <c r="B305" s="8">
        <f>VLOOKUP(A305,Operations!$A$3:$B$132,2,TRUE)</f>
        <v>0</v>
      </c>
      <c r="C305" s="8">
        <f>VLOOKUP(A305,Operations!$A$3:$C$132,3,0)</f>
        <v>0</v>
      </c>
      <c r="D305" s="2" t="s">
        <v>151</v>
      </c>
      <c r="E305" s="2">
        <f>IFERROR(INDEX(Operations!$H$3:$K$132,MATCH(A305,Operations!$A$3:$A$132,0),MATCH(Link!D305,Operations!$H$2:$K$2,0)),"")</f>
        <v>0</v>
      </c>
      <c r="F305" t="b">
        <f>IF(E305&lt;&gt;0,IFERROR(VLOOKUP(A305,Operations!$A$3:$F$132,6,FALSE)*INDEX(Operations!$L$3:$O$132,MATCH(Link!A305,Operations!$A$3:$A$132,0),MATCH(Link!D305,Operations!$L$2:$O$2,0)),0))</f>
        <v>0</v>
      </c>
      <c r="G305" s="29" t="e">
        <f>ROUND((3600*F305/SUMIF($E$2:$E$521,E305,$F$2:$F$521))/VLOOKUP(A305,Operations!$A$3:$F$132,6,FALSE),0)</f>
        <v>#DIV/0!</v>
      </c>
      <c r="H305" s="28" t="e">
        <f t="shared" si="4"/>
        <v>#DIV/0!</v>
      </c>
    </row>
    <row r="306" spans="1:8" x14ac:dyDescent="0.3">
      <c r="A306" s="8" t="s">
        <v>52</v>
      </c>
      <c r="B306" s="8">
        <f>VLOOKUP(A306,Operations!$A$3:$B$132,2,TRUE)</f>
        <v>0</v>
      </c>
      <c r="C306" s="8">
        <f>VLOOKUP(A306,Operations!$A$3:$C$132,3,0)</f>
        <v>0</v>
      </c>
      <c r="D306" s="2" t="s">
        <v>151</v>
      </c>
      <c r="E306" s="2">
        <f>IFERROR(INDEX(Operations!$H$3:$K$132,MATCH(A306,Operations!$A$3:$A$132,0),MATCH(Link!D306,Operations!$H$2:$K$2,0)),"")</f>
        <v>0</v>
      </c>
      <c r="F306" t="b">
        <f>IF(E306&lt;&gt;0,IFERROR(VLOOKUP(A306,Operations!$A$3:$F$132,6,FALSE)*INDEX(Operations!$L$3:$O$132,MATCH(Link!A306,Operations!$A$3:$A$132,0),MATCH(Link!D306,Operations!$L$2:$O$2,0)),0))</f>
        <v>0</v>
      </c>
      <c r="G306" s="29" t="e">
        <f>ROUND((3600*F306/SUMIF($E$2:$E$521,E306,$F$2:$F$521))/VLOOKUP(A306,Operations!$A$3:$F$132,6,FALSE),0)</f>
        <v>#DIV/0!</v>
      </c>
      <c r="H306" s="28" t="e">
        <f t="shared" si="4"/>
        <v>#DIV/0!</v>
      </c>
    </row>
    <row r="307" spans="1:8" x14ac:dyDescent="0.3">
      <c r="A307" s="8" t="s">
        <v>53</v>
      </c>
      <c r="B307" s="8">
        <f>VLOOKUP(A307,Operations!$A$3:$B$132,2,TRUE)</f>
        <v>0</v>
      </c>
      <c r="C307" s="8">
        <f>VLOOKUP(A307,Operations!$A$3:$C$132,3,0)</f>
        <v>0</v>
      </c>
      <c r="D307" s="2" t="s">
        <v>151</v>
      </c>
      <c r="E307" s="2">
        <f>IFERROR(INDEX(Operations!$H$3:$K$132,MATCH(A307,Operations!$A$3:$A$132,0),MATCH(Link!D307,Operations!$H$2:$K$2,0)),"")</f>
        <v>0</v>
      </c>
      <c r="F307" t="b">
        <f>IF(E307&lt;&gt;0,IFERROR(VLOOKUP(A307,Operations!$A$3:$F$132,6,FALSE)*INDEX(Operations!$L$3:$O$132,MATCH(Link!A307,Operations!$A$3:$A$132,0),MATCH(Link!D307,Operations!$L$2:$O$2,0)),0))</f>
        <v>0</v>
      </c>
      <c r="G307" s="29" t="e">
        <f>ROUND((3600*F307/SUMIF($E$2:$E$521,E307,$F$2:$F$521))/VLOOKUP(A307,Operations!$A$3:$F$132,6,FALSE),0)</f>
        <v>#DIV/0!</v>
      </c>
      <c r="H307" s="28" t="e">
        <f t="shared" si="4"/>
        <v>#DIV/0!</v>
      </c>
    </row>
    <row r="308" spans="1:8" x14ac:dyDescent="0.3">
      <c r="A308" s="8" t="s">
        <v>54</v>
      </c>
      <c r="B308" s="8">
        <f>VLOOKUP(A308,Operations!$A$3:$B$132,2,TRUE)</f>
        <v>0</v>
      </c>
      <c r="C308" s="8">
        <f>VLOOKUP(A308,Operations!$A$3:$C$132,3,0)</f>
        <v>0</v>
      </c>
      <c r="D308" s="2" t="s">
        <v>151</v>
      </c>
      <c r="E308" s="2">
        <f>IFERROR(INDEX(Operations!$H$3:$K$132,MATCH(A308,Operations!$A$3:$A$132,0),MATCH(Link!D308,Operations!$H$2:$K$2,0)),"")</f>
        <v>0</v>
      </c>
      <c r="F308" t="b">
        <f>IF(E308&lt;&gt;0,IFERROR(VLOOKUP(A308,Operations!$A$3:$F$132,6,FALSE)*INDEX(Operations!$L$3:$O$132,MATCH(Link!A308,Operations!$A$3:$A$132,0),MATCH(Link!D308,Operations!$L$2:$O$2,0)),0))</f>
        <v>0</v>
      </c>
      <c r="G308" s="29" t="e">
        <f>ROUND((3600*F308/SUMIF($E$2:$E$521,E308,$F$2:$F$521))/VLOOKUP(A308,Operations!$A$3:$F$132,6,FALSE),0)</f>
        <v>#DIV/0!</v>
      </c>
      <c r="H308" s="28" t="e">
        <f t="shared" si="4"/>
        <v>#DIV/0!</v>
      </c>
    </row>
    <row r="309" spans="1:8" x14ac:dyDescent="0.3">
      <c r="A309" s="8" t="s">
        <v>55</v>
      </c>
      <c r="B309" s="8">
        <f>VLOOKUP(A309,Operations!$A$3:$B$132,2,TRUE)</f>
        <v>0</v>
      </c>
      <c r="C309" s="8">
        <f>VLOOKUP(A309,Operations!$A$3:$C$132,3,0)</f>
        <v>0</v>
      </c>
      <c r="D309" s="2" t="s">
        <v>151</v>
      </c>
      <c r="E309" s="2">
        <f>IFERROR(INDEX(Operations!$H$3:$K$132,MATCH(A309,Operations!$A$3:$A$132,0),MATCH(Link!D309,Operations!$H$2:$K$2,0)),"")</f>
        <v>0</v>
      </c>
      <c r="F309" t="b">
        <f>IF(E309&lt;&gt;0,IFERROR(VLOOKUP(A309,Operations!$A$3:$F$132,6,FALSE)*INDEX(Operations!$L$3:$O$132,MATCH(Link!A309,Operations!$A$3:$A$132,0),MATCH(Link!D309,Operations!$L$2:$O$2,0)),0))</f>
        <v>0</v>
      </c>
      <c r="G309" s="29" t="e">
        <f>ROUND((3600*F309/SUMIF($E$2:$E$521,E309,$F$2:$F$521))/VLOOKUP(A309,Operations!$A$3:$F$132,6,FALSE),0)</f>
        <v>#DIV/0!</v>
      </c>
      <c r="H309" s="28" t="e">
        <f t="shared" si="4"/>
        <v>#DIV/0!</v>
      </c>
    </row>
    <row r="310" spans="1:8" x14ac:dyDescent="0.3">
      <c r="A310" s="8" t="s">
        <v>56</v>
      </c>
      <c r="B310" s="8">
        <f>VLOOKUP(A310,Operations!$A$3:$B$132,2,TRUE)</f>
        <v>0</v>
      </c>
      <c r="C310" s="8">
        <f>VLOOKUP(A310,Operations!$A$3:$C$132,3,0)</f>
        <v>0</v>
      </c>
      <c r="D310" s="2" t="s">
        <v>151</v>
      </c>
      <c r="E310" s="2">
        <f>IFERROR(INDEX(Operations!$H$3:$K$132,MATCH(A310,Operations!$A$3:$A$132,0),MATCH(Link!D310,Operations!$H$2:$K$2,0)),"")</f>
        <v>0</v>
      </c>
      <c r="F310" t="b">
        <f>IF(E310&lt;&gt;0,IFERROR(VLOOKUP(A310,Operations!$A$3:$F$132,6,FALSE)*INDEX(Operations!$L$3:$O$132,MATCH(Link!A310,Operations!$A$3:$A$132,0),MATCH(Link!D310,Operations!$L$2:$O$2,0)),0))</f>
        <v>0</v>
      </c>
      <c r="G310" s="29" t="e">
        <f>ROUND((3600*F310/SUMIF($E$2:$E$521,E310,$F$2:$F$521))/VLOOKUP(A310,Operations!$A$3:$F$132,6,FALSE),0)</f>
        <v>#DIV/0!</v>
      </c>
      <c r="H310" s="28" t="e">
        <f t="shared" si="4"/>
        <v>#DIV/0!</v>
      </c>
    </row>
    <row r="311" spans="1:8" x14ac:dyDescent="0.3">
      <c r="A311" s="8" t="s">
        <v>57</v>
      </c>
      <c r="B311" s="8">
        <f>VLOOKUP(A311,Operations!$A$3:$B$132,2,TRUE)</f>
        <v>0</v>
      </c>
      <c r="C311" s="8">
        <f>VLOOKUP(A311,Operations!$A$3:$C$132,3,0)</f>
        <v>0</v>
      </c>
      <c r="D311" s="2" t="s">
        <v>151</v>
      </c>
      <c r="E311" s="2">
        <f>IFERROR(INDEX(Operations!$H$3:$K$132,MATCH(A311,Operations!$A$3:$A$132,0),MATCH(Link!D311,Operations!$H$2:$K$2,0)),"")</f>
        <v>0</v>
      </c>
      <c r="F311" t="b">
        <f>IF(E311&lt;&gt;0,IFERROR(VLOOKUP(A311,Operations!$A$3:$F$132,6,FALSE)*INDEX(Operations!$L$3:$O$132,MATCH(Link!A311,Operations!$A$3:$A$132,0),MATCH(Link!D311,Operations!$L$2:$O$2,0)),0))</f>
        <v>0</v>
      </c>
      <c r="G311" s="29" t="e">
        <f>ROUND((3600*F311/SUMIF($E$2:$E$521,E311,$F$2:$F$521))/VLOOKUP(A311,Operations!$A$3:$F$132,6,FALSE),0)</f>
        <v>#DIV/0!</v>
      </c>
      <c r="H311" s="28" t="e">
        <f t="shared" si="4"/>
        <v>#DIV/0!</v>
      </c>
    </row>
    <row r="312" spans="1:8" x14ac:dyDescent="0.3">
      <c r="A312" s="8" t="s">
        <v>58</v>
      </c>
      <c r="B312" s="8">
        <f>VLOOKUP(A312,Operations!$A$3:$B$132,2,TRUE)</f>
        <v>0</v>
      </c>
      <c r="C312" s="8">
        <f>VLOOKUP(A312,Operations!$A$3:$C$132,3,0)</f>
        <v>0</v>
      </c>
      <c r="D312" s="2" t="s">
        <v>151</v>
      </c>
      <c r="E312" s="2">
        <f>IFERROR(INDEX(Operations!$H$3:$K$132,MATCH(A312,Operations!$A$3:$A$132,0),MATCH(Link!D312,Operations!$H$2:$K$2,0)),"")</f>
        <v>0</v>
      </c>
      <c r="F312" t="b">
        <f>IF(E312&lt;&gt;0,IFERROR(VLOOKUP(A312,Operations!$A$3:$F$132,6,FALSE)*INDEX(Operations!$L$3:$O$132,MATCH(Link!A312,Operations!$A$3:$A$132,0),MATCH(Link!D312,Operations!$L$2:$O$2,0)),0))</f>
        <v>0</v>
      </c>
      <c r="G312" s="29" t="e">
        <f>ROUND((3600*F312/SUMIF($E$2:$E$521,E312,$F$2:$F$521))/VLOOKUP(A312,Operations!$A$3:$F$132,6,FALSE),0)</f>
        <v>#DIV/0!</v>
      </c>
      <c r="H312" s="28" t="e">
        <f t="shared" si="4"/>
        <v>#DIV/0!</v>
      </c>
    </row>
    <row r="313" spans="1:8" x14ac:dyDescent="0.3">
      <c r="A313" s="8" t="s">
        <v>59</v>
      </c>
      <c r="B313" s="8">
        <f>VLOOKUP(A313,Operations!$A$3:$B$132,2,TRUE)</f>
        <v>0</v>
      </c>
      <c r="C313" s="8">
        <f>VLOOKUP(A313,Operations!$A$3:$C$132,3,0)</f>
        <v>0</v>
      </c>
      <c r="D313" s="2" t="s">
        <v>151</v>
      </c>
      <c r="E313" s="2">
        <f>IFERROR(INDEX(Operations!$H$3:$K$132,MATCH(A313,Operations!$A$3:$A$132,0),MATCH(Link!D313,Operations!$H$2:$K$2,0)),"")</f>
        <v>0</v>
      </c>
      <c r="F313" t="b">
        <f>IF(E313&lt;&gt;0,IFERROR(VLOOKUP(A313,Operations!$A$3:$F$132,6,FALSE)*INDEX(Operations!$L$3:$O$132,MATCH(Link!A313,Operations!$A$3:$A$132,0),MATCH(Link!D313,Operations!$L$2:$O$2,0)),0))</f>
        <v>0</v>
      </c>
      <c r="G313" s="29" t="e">
        <f>ROUND((3600*F313/SUMIF($E$2:$E$521,E313,$F$2:$F$521))/VLOOKUP(A313,Operations!$A$3:$F$132,6,FALSE),0)</f>
        <v>#DIV/0!</v>
      </c>
      <c r="H313" s="28" t="e">
        <f t="shared" si="4"/>
        <v>#DIV/0!</v>
      </c>
    </row>
    <row r="314" spans="1:8" x14ac:dyDescent="0.3">
      <c r="A314" s="8" t="s">
        <v>60</v>
      </c>
      <c r="B314" s="8">
        <f>VLOOKUP(A314,Operations!$A$3:$B$132,2,TRUE)</f>
        <v>0</v>
      </c>
      <c r="C314" s="8">
        <f>VLOOKUP(A314,Operations!$A$3:$C$132,3,0)</f>
        <v>0</v>
      </c>
      <c r="D314" s="2" t="s">
        <v>151</v>
      </c>
      <c r="E314" s="2">
        <f>IFERROR(INDEX(Operations!$H$3:$K$132,MATCH(A314,Operations!$A$3:$A$132,0),MATCH(Link!D314,Operations!$H$2:$K$2,0)),"")</f>
        <v>0</v>
      </c>
      <c r="F314" t="b">
        <f>IF(E314&lt;&gt;0,IFERROR(VLOOKUP(A314,Operations!$A$3:$F$132,6,FALSE)*INDEX(Operations!$L$3:$O$132,MATCH(Link!A314,Operations!$A$3:$A$132,0),MATCH(Link!D314,Operations!$L$2:$O$2,0)),0))</f>
        <v>0</v>
      </c>
      <c r="G314" s="29" t="e">
        <f>ROUND((3600*F314/SUMIF($E$2:$E$521,E314,$F$2:$F$521))/VLOOKUP(A314,Operations!$A$3:$F$132,6,FALSE),0)</f>
        <v>#DIV/0!</v>
      </c>
      <c r="H314" s="28" t="e">
        <f t="shared" si="4"/>
        <v>#DIV/0!</v>
      </c>
    </row>
    <row r="315" spans="1:8" x14ac:dyDescent="0.3">
      <c r="A315" s="8" t="s">
        <v>61</v>
      </c>
      <c r="B315" s="8">
        <f>VLOOKUP(A315,Operations!$A$3:$B$132,2,TRUE)</f>
        <v>0</v>
      </c>
      <c r="C315" s="8">
        <f>VLOOKUP(A315,Operations!$A$3:$C$132,3,0)</f>
        <v>0</v>
      </c>
      <c r="D315" s="2" t="s">
        <v>151</v>
      </c>
      <c r="E315" s="2">
        <f>IFERROR(INDEX(Operations!$H$3:$K$132,MATCH(A315,Operations!$A$3:$A$132,0),MATCH(Link!D315,Operations!$H$2:$K$2,0)),"")</f>
        <v>0</v>
      </c>
      <c r="F315" t="b">
        <f>IF(E315&lt;&gt;0,IFERROR(VLOOKUP(A315,Operations!$A$3:$F$132,6,FALSE)*INDEX(Operations!$L$3:$O$132,MATCH(Link!A315,Operations!$A$3:$A$132,0),MATCH(Link!D315,Operations!$L$2:$O$2,0)),0))</f>
        <v>0</v>
      </c>
      <c r="G315" s="29" t="e">
        <f>ROUND((3600*F315/SUMIF($E$2:$E$521,E315,$F$2:$F$521))/VLOOKUP(A315,Operations!$A$3:$F$132,6,FALSE),0)</f>
        <v>#DIV/0!</v>
      </c>
      <c r="H315" s="28" t="e">
        <f t="shared" si="4"/>
        <v>#DIV/0!</v>
      </c>
    </row>
    <row r="316" spans="1:8" x14ac:dyDescent="0.3">
      <c r="A316" s="8" t="s">
        <v>62</v>
      </c>
      <c r="B316" s="8">
        <f>VLOOKUP(A316,Operations!$A$3:$B$132,2,TRUE)</f>
        <v>0</v>
      </c>
      <c r="C316" s="8">
        <f>VLOOKUP(A316,Operations!$A$3:$C$132,3,0)</f>
        <v>0</v>
      </c>
      <c r="D316" s="2" t="s">
        <v>151</v>
      </c>
      <c r="E316" s="2">
        <f>IFERROR(INDEX(Operations!$H$3:$K$132,MATCH(A316,Operations!$A$3:$A$132,0),MATCH(Link!D316,Operations!$H$2:$K$2,0)),"")</f>
        <v>0</v>
      </c>
      <c r="F316" t="b">
        <f>IF(E316&lt;&gt;0,IFERROR(VLOOKUP(A316,Operations!$A$3:$F$132,6,FALSE)*INDEX(Operations!$L$3:$O$132,MATCH(Link!A316,Operations!$A$3:$A$132,0),MATCH(Link!D316,Operations!$L$2:$O$2,0)),0))</f>
        <v>0</v>
      </c>
      <c r="G316" s="29" t="e">
        <f>ROUND((3600*F316/SUMIF($E$2:$E$521,E316,$F$2:$F$521))/VLOOKUP(A316,Operations!$A$3:$F$132,6,FALSE),0)</f>
        <v>#DIV/0!</v>
      </c>
      <c r="H316" s="28" t="e">
        <f t="shared" si="4"/>
        <v>#DIV/0!</v>
      </c>
    </row>
    <row r="317" spans="1:8" x14ac:dyDescent="0.3">
      <c r="A317" s="8" t="s">
        <v>63</v>
      </c>
      <c r="B317" s="8">
        <f>VLOOKUP(A317,Operations!$A$3:$B$132,2,TRUE)</f>
        <v>0</v>
      </c>
      <c r="C317" s="8">
        <f>VLOOKUP(A317,Operations!$A$3:$C$132,3,0)</f>
        <v>0</v>
      </c>
      <c r="D317" s="2" t="s">
        <v>151</v>
      </c>
      <c r="E317" s="2">
        <f>IFERROR(INDEX(Operations!$H$3:$K$132,MATCH(A317,Operations!$A$3:$A$132,0),MATCH(Link!D317,Operations!$H$2:$K$2,0)),"")</f>
        <v>0</v>
      </c>
      <c r="F317" t="b">
        <f>IF(E317&lt;&gt;0,IFERROR(VLOOKUP(A317,Operations!$A$3:$F$132,6,FALSE)*INDEX(Operations!$L$3:$O$132,MATCH(Link!A317,Operations!$A$3:$A$132,0),MATCH(Link!D317,Operations!$L$2:$O$2,0)),0))</f>
        <v>0</v>
      </c>
      <c r="G317" s="29" t="e">
        <f>ROUND((3600*F317/SUMIF($E$2:$E$521,E317,$F$2:$F$521))/VLOOKUP(A317,Operations!$A$3:$F$132,6,FALSE),0)</f>
        <v>#DIV/0!</v>
      </c>
      <c r="H317" s="28" t="e">
        <f t="shared" si="4"/>
        <v>#DIV/0!</v>
      </c>
    </row>
    <row r="318" spans="1:8" x14ac:dyDescent="0.3">
      <c r="A318" s="8" t="s">
        <v>64</v>
      </c>
      <c r="B318" s="8">
        <f>VLOOKUP(A318,Operations!$A$3:$B$132,2,TRUE)</f>
        <v>0</v>
      </c>
      <c r="C318" s="8">
        <f>VLOOKUP(A318,Operations!$A$3:$C$132,3,0)</f>
        <v>0</v>
      </c>
      <c r="D318" s="2" t="s">
        <v>151</v>
      </c>
      <c r="E318" s="2">
        <f>IFERROR(INDEX(Operations!$H$3:$K$132,MATCH(A318,Operations!$A$3:$A$132,0),MATCH(Link!D318,Operations!$H$2:$K$2,0)),"")</f>
        <v>0</v>
      </c>
      <c r="F318" t="b">
        <f>IF(E318&lt;&gt;0,IFERROR(VLOOKUP(A318,Operations!$A$3:$F$132,6,FALSE)*INDEX(Operations!$L$3:$O$132,MATCH(Link!A318,Operations!$A$3:$A$132,0),MATCH(Link!D318,Operations!$L$2:$O$2,0)),0))</f>
        <v>0</v>
      </c>
      <c r="G318" s="29" t="e">
        <f>ROUND((3600*F318/SUMIF($E$2:$E$521,E318,$F$2:$F$521))/VLOOKUP(A318,Operations!$A$3:$F$132,6,FALSE),0)</f>
        <v>#DIV/0!</v>
      </c>
      <c r="H318" s="28" t="e">
        <f t="shared" si="4"/>
        <v>#DIV/0!</v>
      </c>
    </row>
    <row r="319" spans="1:8" x14ac:dyDescent="0.3">
      <c r="A319" s="8" t="s">
        <v>65</v>
      </c>
      <c r="B319" s="8">
        <f>VLOOKUP(A319,Operations!$A$3:$B$132,2,TRUE)</f>
        <v>0</v>
      </c>
      <c r="C319" s="8">
        <f>VLOOKUP(A319,Operations!$A$3:$C$132,3,0)</f>
        <v>0</v>
      </c>
      <c r="D319" s="2" t="s">
        <v>151</v>
      </c>
      <c r="E319" s="2">
        <f>IFERROR(INDEX(Operations!$H$3:$K$132,MATCH(A319,Operations!$A$3:$A$132,0),MATCH(Link!D319,Operations!$H$2:$K$2,0)),"")</f>
        <v>0</v>
      </c>
      <c r="F319" t="b">
        <f>IF(E319&lt;&gt;0,IFERROR(VLOOKUP(A319,Operations!$A$3:$F$132,6,FALSE)*INDEX(Operations!$L$3:$O$132,MATCH(Link!A319,Operations!$A$3:$A$132,0),MATCH(Link!D319,Operations!$L$2:$O$2,0)),0))</f>
        <v>0</v>
      </c>
      <c r="G319" s="29" t="e">
        <f>ROUND((3600*F319/SUMIF($E$2:$E$521,E319,$F$2:$F$521))/VLOOKUP(A319,Operations!$A$3:$F$132,6,FALSE),0)</f>
        <v>#DIV/0!</v>
      </c>
      <c r="H319" s="28" t="e">
        <f t="shared" si="4"/>
        <v>#DIV/0!</v>
      </c>
    </row>
    <row r="320" spans="1:8" x14ac:dyDescent="0.3">
      <c r="A320" s="8" t="s">
        <v>66</v>
      </c>
      <c r="B320" s="8">
        <f>VLOOKUP(A320,Operations!$A$3:$B$132,2,TRUE)</f>
        <v>0</v>
      </c>
      <c r="C320" s="8">
        <f>VLOOKUP(A320,Operations!$A$3:$C$132,3,0)</f>
        <v>0</v>
      </c>
      <c r="D320" s="2" t="s">
        <v>151</v>
      </c>
      <c r="E320" s="2">
        <f>IFERROR(INDEX(Operations!$H$3:$K$132,MATCH(A320,Operations!$A$3:$A$132,0),MATCH(Link!D320,Operations!$H$2:$K$2,0)),"")</f>
        <v>0</v>
      </c>
      <c r="F320" t="b">
        <f>IF(E320&lt;&gt;0,IFERROR(VLOOKUP(A320,Operations!$A$3:$F$132,6,FALSE)*INDEX(Operations!$L$3:$O$132,MATCH(Link!A320,Operations!$A$3:$A$132,0),MATCH(Link!D320,Operations!$L$2:$O$2,0)),0))</f>
        <v>0</v>
      </c>
      <c r="G320" s="29" t="e">
        <f>ROUND((3600*F320/SUMIF($E$2:$E$521,E320,$F$2:$F$521))/VLOOKUP(A320,Operations!$A$3:$F$132,6,FALSE),0)</f>
        <v>#DIV/0!</v>
      </c>
      <c r="H320" s="28" t="e">
        <f t="shared" si="4"/>
        <v>#DIV/0!</v>
      </c>
    </row>
    <row r="321" spans="1:8" x14ac:dyDescent="0.3">
      <c r="A321" s="8" t="s">
        <v>67</v>
      </c>
      <c r="B321" s="8">
        <f>VLOOKUP(A321,Operations!$A$3:$B$132,2,TRUE)</f>
        <v>0</v>
      </c>
      <c r="C321" s="8">
        <f>VLOOKUP(A321,Operations!$A$3:$C$132,3,0)</f>
        <v>0</v>
      </c>
      <c r="D321" s="2" t="s">
        <v>151</v>
      </c>
      <c r="E321" s="2">
        <f>IFERROR(INDEX(Operations!$H$3:$K$132,MATCH(A321,Operations!$A$3:$A$132,0),MATCH(Link!D321,Operations!$H$2:$K$2,0)),"")</f>
        <v>0</v>
      </c>
      <c r="F321" t="b">
        <f>IF(E321&lt;&gt;0,IFERROR(VLOOKUP(A321,Operations!$A$3:$F$132,6,FALSE)*INDEX(Operations!$L$3:$O$132,MATCH(Link!A321,Operations!$A$3:$A$132,0),MATCH(Link!D321,Operations!$L$2:$O$2,0)),0))</f>
        <v>0</v>
      </c>
      <c r="G321" s="29" t="e">
        <f>ROUND((3600*F321/SUMIF($E$2:$E$521,E321,$F$2:$F$521))/VLOOKUP(A321,Operations!$A$3:$F$132,6,FALSE),0)</f>
        <v>#DIV/0!</v>
      </c>
      <c r="H321" s="28" t="e">
        <f t="shared" si="4"/>
        <v>#DIV/0!</v>
      </c>
    </row>
    <row r="322" spans="1:8" x14ac:dyDescent="0.3">
      <c r="A322" s="8" t="s">
        <v>68</v>
      </c>
      <c r="B322" s="8">
        <f>VLOOKUP(A322,Operations!$A$3:$B$132,2,TRUE)</f>
        <v>0</v>
      </c>
      <c r="C322" s="8">
        <f>VLOOKUP(A322,Operations!$A$3:$C$132,3,0)</f>
        <v>0</v>
      </c>
      <c r="D322" s="2" t="s">
        <v>151</v>
      </c>
      <c r="E322" s="2">
        <f>IFERROR(INDEX(Operations!$H$3:$K$132,MATCH(A322,Operations!$A$3:$A$132,0),MATCH(Link!D322,Operations!$H$2:$K$2,0)),"")</f>
        <v>0</v>
      </c>
      <c r="F322" t="b">
        <f>IF(E322&lt;&gt;0,IFERROR(VLOOKUP(A322,Operations!$A$3:$F$132,6,FALSE)*INDEX(Operations!$L$3:$O$132,MATCH(Link!A322,Operations!$A$3:$A$132,0),MATCH(Link!D322,Operations!$L$2:$O$2,0)),0))</f>
        <v>0</v>
      </c>
      <c r="G322" s="29" t="e">
        <f>ROUND((3600*F322/SUMIF($E$2:$E$521,E322,$F$2:$F$521))/VLOOKUP(A322,Operations!$A$3:$F$132,6,FALSE),0)</f>
        <v>#DIV/0!</v>
      </c>
      <c r="H322" s="28" t="e">
        <f t="shared" si="4"/>
        <v>#DIV/0!</v>
      </c>
    </row>
    <row r="323" spans="1:8" x14ac:dyDescent="0.3">
      <c r="A323" s="8" t="s">
        <v>69</v>
      </c>
      <c r="B323" s="8">
        <f>VLOOKUP(A323,Operations!$A$3:$B$132,2,TRUE)</f>
        <v>0</v>
      </c>
      <c r="C323" s="8">
        <f>VLOOKUP(A323,Operations!$A$3:$C$132,3,0)</f>
        <v>0</v>
      </c>
      <c r="D323" s="2" t="s">
        <v>151</v>
      </c>
      <c r="E323" s="2">
        <f>IFERROR(INDEX(Operations!$H$3:$K$132,MATCH(A323,Operations!$A$3:$A$132,0),MATCH(Link!D323,Operations!$H$2:$K$2,0)),"")</f>
        <v>0</v>
      </c>
      <c r="F323" t="b">
        <f>IF(E323&lt;&gt;0,IFERROR(VLOOKUP(A323,Operations!$A$3:$F$132,6,FALSE)*INDEX(Operations!$L$3:$O$132,MATCH(Link!A323,Operations!$A$3:$A$132,0),MATCH(Link!D323,Operations!$L$2:$O$2,0)),0))</f>
        <v>0</v>
      </c>
      <c r="G323" s="29" t="e">
        <f>ROUND((3600*F323/SUMIF($E$2:$E$521,E323,$F$2:$F$521))/VLOOKUP(A323,Operations!$A$3:$F$132,6,FALSE),0)</f>
        <v>#DIV/0!</v>
      </c>
      <c r="H323" s="28" t="e">
        <f t="shared" ref="H323:H386" si="5">C323&amp;":"&amp;" "&amp;G323</f>
        <v>#DIV/0!</v>
      </c>
    </row>
    <row r="324" spans="1:8" x14ac:dyDescent="0.3">
      <c r="A324" s="8" t="s">
        <v>70</v>
      </c>
      <c r="B324" s="8">
        <f>VLOOKUP(A324,Operations!$A$3:$B$132,2,TRUE)</f>
        <v>0</v>
      </c>
      <c r="C324" s="8">
        <f>VLOOKUP(A324,Operations!$A$3:$C$132,3,0)</f>
        <v>0</v>
      </c>
      <c r="D324" s="2" t="s">
        <v>151</v>
      </c>
      <c r="E324" s="2">
        <f>IFERROR(INDEX(Operations!$H$3:$K$132,MATCH(A324,Operations!$A$3:$A$132,0),MATCH(Link!D324,Operations!$H$2:$K$2,0)),"")</f>
        <v>0</v>
      </c>
      <c r="F324" t="b">
        <f>IF(E324&lt;&gt;0,IFERROR(VLOOKUP(A324,Operations!$A$3:$F$132,6,FALSE)*INDEX(Operations!$L$3:$O$132,MATCH(Link!A324,Operations!$A$3:$A$132,0),MATCH(Link!D324,Operations!$L$2:$O$2,0)),0))</f>
        <v>0</v>
      </c>
      <c r="G324" s="29" t="e">
        <f>ROUND((3600*F324/SUMIF($E$2:$E$521,E324,$F$2:$F$521))/VLOOKUP(A324,Operations!$A$3:$F$132,6,FALSE),0)</f>
        <v>#DIV/0!</v>
      </c>
      <c r="H324" s="28" t="e">
        <f t="shared" si="5"/>
        <v>#DIV/0!</v>
      </c>
    </row>
    <row r="325" spans="1:8" x14ac:dyDescent="0.3">
      <c r="A325" s="8" t="s">
        <v>71</v>
      </c>
      <c r="B325" s="8">
        <f>VLOOKUP(A325,Operations!$A$3:$B$132,2,TRUE)</f>
        <v>0</v>
      </c>
      <c r="C325" s="8">
        <f>VLOOKUP(A325,Operations!$A$3:$C$132,3,0)</f>
        <v>0</v>
      </c>
      <c r="D325" s="2" t="s">
        <v>151</v>
      </c>
      <c r="E325" s="2">
        <f>IFERROR(INDEX(Operations!$H$3:$K$132,MATCH(A325,Operations!$A$3:$A$132,0),MATCH(Link!D325,Operations!$H$2:$K$2,0)),"")</f>
        <v>0</v>
      </c>
      <c r="F325" t="b">
        <f>IF(E325&lt;&gt;0,IFERROR(VLOOKUP(A325,Operations!$A$3:$F$132,6,FALSE)*INDEX(Operations!$L$3:$O$132,MATCH(Link!A325,Operations!$A$3:$A$132,0),MATCH(Link!D325,Operations!$L$2:$O$2,0)),0))</f>
        <v>0</v>
      </c>
      <c r="G325" s="29" t="e">
        <f>ROUND((3600*F325/SUMIF($E$2:$E$521,E325,$F$2:$F$521))/VLOOKUP(A325,Operations!$A$3:$F$132,6,FALSE),0)</f>
        <v>#DIV/0!</v>
      </c>
      <c r="H325" s="28" t="e">
        <f t="shared" si="5"/>
        <v>#DIV/0!</v>
      </c>
    </row>
    <row r="326" spans="1:8" x14ac:dyDescent="0.3">
      <c r="A326" s="8" t="s">
        <v>72</v>
      </c>
      <c r="B326" s="8">
        <f>VLOOKUP(A326,Operations!$A$3:$B$132,2,TRUE)</f>
        <v>0</v>
      </c>
      <c r="C326" s="8">
        <f>VLOOKUP(A326,Operations!$A$3:$C$132,3,0)</f>
        <v>0</v>
      </c>
      <c r="D326" s="2" t="s">
        <v>151</v>
      </c>
      <c r="E326" s="2">
        <f>IFERROR(INDEX(Operations!$H$3:$K$132,MATCH(A326,Operations!$A$3:$A$132,0),MATCH(Link!D326,Operations!$H$2:$K$2,0)),"")</f>
        <v>0</v>
      </c>
      <c r="F326" t="b">
        <f>IF(E326&lt;&gt;0,IFERROR(VLOOKUP(A326,Operations!$A$3:$F$132,6,FALSE)*INDEX(Operations!$L$3:$O$132,MATCH(Link!A326,Operations!$A$3:$A$132,0),MATCH(Link!D326,Operations!$L$2:$O$2,0)),0))</f>
        <v>0</v>
      </c>
      <c r="G326" s="29" t="e">
        <f>ROUND((3600*F326/SUMIF($E$2:$E$521,E326,$F$2:$F$521))/VLOOKUP(A326,Operations!$A$3:$F$132,6,FALSE),0)</f>
        <v>#DIV/0!</v>
      </c>
      <c r="H326" s="28" t="e">
        <f t="shared" si="5"/>
        <v>#DIV/0!</v>
      </c>
    </row>
    <row r="327" spans="1:8" x14ac:dyDescent="0.3">
      <c r="A327" s="8" t="s">
        <v>73</v>
      </c>
      <c r="B327" s="8">
        <f>VLOOKUP(A327,Operations!$A$3:$B$132,2,TRUE)</f>
        <v>0</v>
      </c>
      <c r="C327" s="8">
        <f>VLOOKUP(A327,Operations!$A$3:$C$132,3,0)</f>
        <v>0</v>
      </c>
      <c r="D327" s="2" t="s">
        <v>151</v>
      </c>
      <c r="E327" s="2">
        <f>IFERROR(INDEX(Operations!$H$3:$K$132,MATCH(A327,Operations!$A$3:$A$132,0),MATCH(Link!D327,Operations!$H$2:$K$2,0)),"")</f>
        <v>0</v>
      </c>
      <c r="F327" t="b">
        <f>IF(E327&lt;&gt;0,IFERROR(VLOOKUP(A327,Operations!$A$3:$F$132,6,FALSE)*INDEX(Operations!$L$3:$O$132,MATCH(Link!A327,Operations!$A$3:$A$132,0),MATCH(Link!D327,Operations!$L$2:$O$2,0)),0))</f>
        <v>0</v>
      </c>
      <c r="G327" s="29" t="e">
        <f>ROUND((3600*F327/SUMIF($E$2:$E$521,E327,$F$2:$F$521))/VLOOKUP(A327,Operations!$A$3:$F$132,6,FALSE),0)</f>
        <v>#DIV/0!</v>
      </c>
      <c r="H327" s="28" t="e">
        <f t="shared" si="5"/>
        <v>#DIV/0!</v>
      </c>
    </row>
    <row r="328" spans="1:8" x14ac:dyDescent="0.3">
      <c r="A328" s="8" t="s">
        <v>74</v>
      </c>
      <c r="B328" s="8">
        <f>VLOOKUP(A328,Operations!$A$3:$B$132,2,TRUE)</f>
        <v>0</v>
      </c>
      <c r="C328" s="8">
        <f>VLOOKUP(A328,Operations!$A$3:$C$132,3,0)</f>
        <v>0</v>
      </c>
      <c r="D328" s="2" t="s">
        <v>151</v>
      </c>
      <c r="E328" s="2">
        <f>IFERROR(INDEX(Operations!$H$3:$K$132,MATCH(A328,Operations!$A$3:$A$132,0),MATCH(Link!D328,Operations!$H$2:$K$2,0)),"")</f>
        <v>0</v>
      </c>
      <c r="F328" t="b">
        <f>IF(E328&lt;&gt;0,IFERROR(VLOOKUP(A328,Operations!$A$3:$F$132,6,FALSE)*INDEX(Operations!$L$3:$O$132,MATCH(Link!A328,Operations!$A$3:$A$132,0),MATCH(Link!D328,Operations!$L$2:$O$2,0)),0))</f>
        <v>0</v>
      </c>
      <c r="G328" s="29" t="e">
        <f>ROUND((3600*F328/SUMIF($E$2:$E$521,E328,$F$2:$F$521))/VLOOKUP(A328,Operations!$A$3:$F$132,6,FALSE),0)</f>
        <v>#DIV/0!</v>
      </c>
      <c r="H328" s="28" t="e">
        <f t="shared" si="5"/>
        <v>#DIV/0!</v>
      </c>
    </row>
    <row r="329" spans="1:8" x14ac:dyDescent="0.3">
      <c r="A329" s="8" t="s">
        <v>75</v>
      </c>
      <c r="B329" s="8">
        <f>VLOOKUP(A329,Operations!$A$3:$B$132,2,TRUE)</f>
        <v>0</v>
      </c>
      <c r="C329" s="8">
        <f>VLOOKUP(A329,Operations!$A$3:$C$132,3,0)</f>
        <v>0</v>
      </c>
      <c r="D329" s="2" t="s">
        <v>151</v>
      </c>
      <c r="E329" s="2">
        <f>IFERROR(INDEX(Operations!$H$3:$K$132,MATCH(A329,Operations!$A$3:$A$132,0),MATCH(Link!D329,Operations!$H$2:$K$2,0)),"")</f>
        <v>0</v>
      </c>
      <c r="F329" t="b">
        <f>IF(E329&lt;&gt;0,IFERROR(VLOOKUP(A329,Operations!$A$3:$F$132,6,FALSE)*INDEX(Operations!$L$3:$O$132,MATCH(Link!A329,Operations!$A$3:$A$132,0),MATCH(Link!D329,Operations!$L$2:$O$2,0)),0))</f>
        <v>0</v>
      </c>
      <c r="G329" s="29" t="e">
        <f>ROUND((3600*F329/SUMIF($E$2:$E$521,E329,$F$2:$F$521))/VLOOKUP(A329,Operations!$A$3:$F$132,6,FALSE),0)</f>
        <v>#DIV/0!</v>
      </c>
      <c r="H329" s="28" t="e">
        <f t="shared" si="5"/>
        <v>#DIV/0!</v>
      </c>
    </row>
    <row r="330" spans="1:8" x14ac:dyDescent="0.3">
      <c r="A330" s="8" t="s">
        <v>76</v>
      </c>
      <c r="B330" s="8">
        <f>VLOOKUP(A330,Operations!$A$3:$B$132,2,TRUE)</f>
        <v>0</v>
      </c>
      <c r="C330" s="8">
        <f>VLOOKUP(A330,Operations!$A$3:$C$132,3,0)</f>
        <v>0</v>
      </c>
      <c r="D330" s="2" t="s">
        <v>151</v>
      </c>
      <c r="E330" s="2">
        <f>IFERROR(INDEX(Operations!$H$3:$K$132,MATCH(A330,Operations!$A$3:$A$132,0),MATCH(Link!D330,Operations!$H$2:$K$2,0)),"")</f>
        <v>0</v>
      </c>
      <c r="F330" t="b">
        <f>IF(E330&lt;&gt;0,IFERROR(VLOOKUP(A330,Operations!$A$3:$F$132,6,FALSE)*INDEX(Operations!$L$3:$O$132,MATCH(Link!A330,Operations!$A$3:$A$132,0),MATCH(Link!D330,Operations!$L$2:$O$2,0)),0))</f>
        <v>0</v>
      </c>
      <c r="G330" s="29" t="e">
        <f>ROUND((3600*F330/SUMIF($E$2:$E$521,E330,$F$2:$F$521))/VLOOKUP(A330,Operations!$A$3:$F$132,6,FALSE),0)</f>
        <v>#DIV/0!</v>
      </c>
      <c r="H330" s="28" t="e">
        <f t="shared" si="5"/>
        <v>#DIV/0!</v>
      </c>
    </row>
    <row r="331" spans="1:8" x14ac:dyDescent="0.3">
      <c r="A331" s="8" t="s">
        <v>77</v>
      </c>
      <c r="B331" s="8">
        <f>VLOOKUP(A331,Operations!$A$3:$B$132,2,TRUE)</f>
        <v>0</v>
      </c>
      <c r="C331" s="8">
        <f>VLOOKUP(A331,Operations!$A$3:$C$132,3,0)</f>
        <v>0</v>
      </c>
      <c r="D331" s="2" t="s">
        <v>151</v>
      </c>
      <c r="E331" s="2">
        <f>IFERROR(INDEX(Operations!$H$3:$K$132,MATCH(A331,Operations!$A$3:$A$132,0),MATCH(Link!D331,Operations!$H$2:$K$2,0)),"")</f>
        <v>0</v>
      </c>
      <c r="F331" t="b">
        <f>IF(E331&lt;&gt;0,IFERROR(VLOOKUP(A331,Operations!$A$3:$F$132,6,FALSE)*INDEX(Operations!$L$3:$O$132,MATCH(Link!A331,Operations!$A$3:$A$132,0),MATCH(Link!D331,Operations!$L$2:$O$2,0)),0))</f>
        <v>0</v>
      </c>
      <c r="G331" s="29" t="e">
        <f>ROUND((3600*F331/SUMIF($E$2:$E$521,E331,$F$2:$F$521))/VLOOKUP(A331,Operations!$A$3:$F$132,6,FALSE),0)</f>
        <v>#DIV/0!</v>
      </c>
      <c r="H331" s="28" t="e">
        <f t="shared" si="5"/>
        <v>#DIV/0!</v>
      </c>
    </row>
    <row r="332" spans="1:8" x14ac:dyDescent="0.3">
      <c r="A332" s="8" t="s">
        <v>78</v>
      </c>
      <c r="B332" s="8">
        <f>VLOOKUP(A332,Operations!$A$3:$B$132,2,TRUE)</f>
        <v>0</v>
      </c>
      <c r="C332" s="8">
        <f>VLOOKUP(A332,Operations!$A$3:$C$132,3,0)</f>
        <v>0</v>
      </c>
      <c r="D332" s="2" t="s">
        <v>151</v>
      </c>
      <c r="E332" s="2">
        <f>IFERROR(INDEX(Operations!$H$3:$K$132,MATCH(A332,Operations!$A$3:$A$132,0),MATCH(Link!D332,Operations!$H$2:$K$2,0)),"")</f>
        <v>0</v>
      </c>
      <c r="F332" t="b">
        <f>IF(E332&lt;&gt;0,IFERROR(VLOOKUP(A332,Operations!$A$3:$F$132,6,FALSE)*INDEX(Operations!$L$3:$O$132,MATCH(Link!A332,Operations!$A$3:$A$132,0),MATCH(Link!D332,Operations!$L$2:$O$2,0)),0))</f>
        <v>0</v>
      </c>
      <c r="G332" s="29" t="e">
        <f>ROUND((3600*F332/SUMIF($E$2:$E$521,E332,$F$2:$F$521))/VLOOKUP(A332,Operations!$A$3:$F$132,6,FALSE),0)</f>
        <v>#DIV/0!</v>
      </c>
      <c r="H332" s="28" t="e">
        <f t="shared" si="5"/>
        <v>#DIV/0!</v>
      </c>
    </row>
    <row r="333" spans="1:8" x14ac:dyDescent="0.3">
      <c r="A333" s="8" t="s">
        <v>79</v>
      </c>
      <c r="B333" s="8">
        <f>VLOOKUP(A333,Operations!$A$3:$B$132,2,TRUE)</f>
        <v>0</v>
      </c>
      <c r="C333" s="8">
        <f>VLOOKUP(A333,Operations!$A$3:$C$132,3,0)</f>
        <v>0</v>
      </c>
      <c r="D333" s="2" t="s">
        <v>151</v>
      </c>
      <c r="E333" s="2">
        <f>IFERROR(INDEX(Operations!$H$3:$K$132,MATCH(A333,Operations!$A$3:$A$132,0),MATCH(Link!D333,Operations!$H$2:$K$2,0)),"")</f>
        <v>0</v>
      </c>
      <c r="F333" t="b">
        <f>IF(E333&lt;&gt;0,IFERROR(VLOOKUP(A333,Operations!$A$3:$F$132,6,FALSE)*INDEX(Operations!$L$3:$O$132,MATCH(Link!A333,Operations!$A$3:$A$132,0),MATCH(Link!D333,Operations!$L$2:$O$2,0)),0))</f>
        <v>0</v>
      </c>
      <c r="G333" s="29" t="e">
        <f>ROUND((3600*F333/SUMIF($E$2:$E$521,E333,$F$2:$F$521))/VLOOKUP(A333,Operations!$A$3:$F$132,6,FALSE),0)</f>
        <v>#DIV/0!</v>
      </c>
      <c r="H333" s="28" t="e">
        <f t="shared" si="5"/>
        <v>#DIV/0!</v>
      </c>
    </row>
    <row r="334" spans="1:8" x14ac:dyDescent="0.3">
      <c r="A334" s="8" t="s">
        <v>80</v>
      </c>
      <c r="B334" s="8">
        <f>VLOOKUP(A334,Operations!$A$3:$B$132,2,TRUE)</f>
        <v>0</v>
      </c>
      <c r="C334" s="8">
        <f>VLOOKUP(A334,Operations!$A$3:$C$132,3,0)</f>
        <v>0</v>
      </c>
      <c r="D334" s="2" t="s">
        <v>151</v>
      </c>
      <c r="E334" s="2">
        <f>IFERROR(INDEX(Operations!$H$3:$K$132,MATCH(A334,Operations!$A$3:$A$132,0),MATCH(Link!D334,Operations!$H$2:$K$2,0)),"")</f>
        <v>0</v>
      </c>
      <c r="F334" t="b">
        <f>IF(E334&lt;&gt;0,IFERROR(VLOOKUP(A334,Operations!$A$3:$F$132,6,FALSE)*INDEX(Operations!$L$3:$O$132,MATCH(Link!A334,Operations!$A$3:$A$132,0),MATCH(Link!D334,Operations!$L$2:$O$2,0)),0))</f>
        <v>0</v>
      </c>
      <c r="G334" s="29" t="e">
        <f>ROUND((3600*F334/SUMIF($E$2:$E$521,E334,$F$2:$F$521))/VLOOKUP(A334,Operations!$A$3:$F$132,6,FALSE),0)</f>
        <v>#DIV/0!</v>
      </c>
      <c r="H334" s="28" t="e">
        <f t="shared" si="5"/>
        <v>#DIV/0!</v>
      </c>
    </row>
    <row r="335" spans="1:8" x14ac:dyDescent="0.3">
      <c r="A335" s="8" t="s">
        <v>81</v>
      </c>
      <c r="B335" s="8">
        <f>VLOOKUP(A335,Operations!$A$3:$B$132,2,TRUE)</f>
        <v>0</v>
      </c>
      <c r="C335" s="8">
        <f>VLOOKUP(A335,Operations!$A$3:$C$132,3,0)</f>
        <v>0</v>
      </c>
      <c r="D335" s="2" t="s">
        <v>151</v>
      </c>
      <c r="E335" s="2">
        <f>IFERROR(INDEX(Operations!$H$3:$K$132,MATCH(A335,Operations!$A$3:$A$132,0),MATCH(Link!D335,Operations!$H$2:$K$2,0)),"")</f>
        <v>0</v>
      </c>
      <c r="F335" t="b">
        <f>IF(E335&lt;&gt;0,IFERROR(VLOOKUP(A335,Operations!$A$3:$F$132,6,FALSE)*INDEX(Operations!$L$3:$O$132,MATCH(Link!A335,Operations!$A$3:$A$132,0),MATCH(Link!D335,Operations!$L$2:$O$2,0)),0))</f>
        <v>0</v>
      </c>
      <c r="G335" s="29" t="e">
        <f>ROUND((3600*F335/SUMIF($E$2:$E$521,E335,$F$2:$F$521))/VLOOKUP(A335,Operations!$A$3:$F$132,6,FALSE),0)</f>
        <v>#DIV/0!</v>
      </c>
      <c r="H335" s="28" t="e">
        <f t="shared" si="5"/>
        <v>#DIV/0!</v>
      </c>
    </row>
    <row r="336" spans="1:8" x14ac:dyDescent="0.3">
      <c r="A336" s="8" t="s">
        <v>82</v>
      </c>
      <c r="B336" s="8">
        <f>VLOOKUP(A336,Operations!$A$3:$B$132,2,TRUE)</f>
        <v>0</v>
      </c>
      <c r="C336" s="8">
        <f>VLOOKUP(A336,Operations!$A$3:$C$132,3,0)</f>
        <v>0</v>
      </c>
      <c r="D336" s="2" t="s">
        <v>151</v>
      </c>
      <c r="E336" s="2">
        <f>IFERROR(INDEX(Operations!$H$3:$K$132,MATCH(A336,Operations!$A$3:$A$132,0),MATCH(Link!D336,Operations!$H$2:$K$2,0)),"")</f>
        <v>0</v>
      </c>
      <c r="F336" t="b">
        <f>IF(E336&lt;&gt;0,IFERROR(VLOOKUP(A336,Operations!$A$3:$F$132,6,FALSE)*INDEX(Operations!$L$3:$O$132,MATCH(Link!A336,Operations!$A$3:$A$132,0),MATCH(Link!D336,Operations!$L$2:$O$2,0)),0))</f>
        <v>0</v>
      </c>
      <c r="G336" s="29" t="e">
        <f>ROUND((3600*F336/SUMIF($E$2:$E$521,E336,$F$2:$F$521))/VLOOKUP(A336,Operations!$A$3:$F$132,6,FALSE),0)</f>
        <v>#DIV/0!</v>
      </c>
      <c r="H336" s="28" t="e">
        <f t="shared" si="5"/>
        <v>#DIV/0!</v>
      </c>
    </row>
    <row r="337" spans="1:8" x14ac:dyDescent="0.3">
      <c r="A337" s="8" t="s">
        <v>83</v>
      </c>
      <c r="B337" s="8">
        <f>VLOOKUP(A337,Operations!$A$3:$B$132,2,TRUE)</f>
        <v>0</v>
      </c>
      <c r="C337" s="8">
        <f>VLOOKUP(A337,Operations!$A$3:$C$132,3,0)</f>
        <v>0</v>
      </c>
      <c r="D337" s="2" t="s">
        <v>151</v>
      </c>
      <c r="E337" s="2">
        <f>IFERROR(INDEX(Operations!$H$3:$K$132,MATCH(A337,Operations!$A$3:$A$132,0),MATCH(Link!D337,Operations!$H$2:$K$2,0)),"")</f>
        <v>0</v>
      </c>
      <c r="F337" t="b">
        <f>IF(E337&lt;&gt;0,IFERROR(VLOOKUP(A337,Operations!$A$3:$F$132,6,FALSE)*INDEX(Operations!$L$3:$O$132,MATCH(Link!A337,Operations!$A$3:$A$132,0),MATCH(Link!D337,Operations!$L$2:$O$2,0)),0))</f>
        <v>0</v>
      </c>
      <c r="G337" s="29" t="e">
        <f>ROUND((3600*F337/SUMIF($E$2:$E$521,E337,$F$2:$F$521))/VLOOKUP(A337,Operations!$A$3:$F$132,6,FALSE),0)</f>
        <v>#DIV/0!</v>
      </c>
      <c r="H337" s="28" t="e">
        <f t="shared" si="5"/>
        <v>#DIV/0!</v>
      </c>
    </row>
    <row r="338" spans="1:8" x14ac:dyDescent="0.3">
      <c r="A338" s="8" t="s">
        <v>84</v>
      </c>
      <c r="B338" s="8">
        <f>VLOOKUP(A338,Operations!$A$3:$B$132,2,TRUE)</f>
        <v>0</v>
      </c>
      <c r="C338" s="8">
        <f>VLOOKUP(A338,Operations!$A$3:$C$132,3,0)</f>
        <v>0</v>
      </c>
      <c r="D338" s="2" t="s">
        <v>151</v>
      </c>
      <c r="E338" s="2">
        <f>IFERROR(INDEX(Operations!$H$3:$K$132,MATCH(A338,Operations!$A$3:$A$132,0),MATCH(Link!D338,Operations!$H$2:$K$2,0)),"")</f>
        <v>0</v>
      </c>
      <c r="F338" t="b">
        <f>IF(E338&lt;&gt;0,IFERROR(VLOOKUP(A338,Operations!$A$3:$F$132,6,FALSE)*INDEX(Operations!$L$3:$O$132,MATCH(Link!A338,Operations!$A$3:$A$132,0),MATCH(Link!D338,Operations!$L$2:$O$2,0)),0))</f>
        <v>0</v>
      </c>
      <c r="G338" s="29" t="e">
        <f>ROUND((3600*F338/SUMIF($E$2:$E$521,E338,$F$2:$F$521))/VLOOKUP(A338,Operations!$A$3:$F$132,6,FALSE),0)</f>
        <v>#DIV/0!</v>
      </c>
      <c r="H338" s="28" t="e">
        <f t="shared" si="5"/>
        <v>#DIV/0!</v>
      </c>
    </row>
    <row r="339" spans="1:8" x14ac:dyDescent="0.3">
      <c r="A339" s="8" t="s">
        <v>85</v>
      </c>
      <c r="B339" s="8">
        <f>VLOOKUP(A339,Operations!$A$3:$B$132,2,TRUE)</f>
        <v>0</v>
      </c>
      <c r="C339" s="8">
        <f>VLOOKUP(A339,Operations!$A$3:$C$132,3,0)</f>
        <v>0</v>
      </c>
      <c r="D339" s="2" t="s">
        <v>151</v>
      </c>
      <c r="E339" s="2">
        <f>IFERROR(INDEX(Operations!$H$3:$K$132,MATCH(A339,Operations!$A$3:$A$132,0),MATCH(Link!D339,Operations!$H$2:$K$2,0)),"")</f>
        <v>0</v>
      </c>
      <c r="F339" t="b">
        <f>IF(E339&lt;&gt;0,IFERROR(VLOOKUP(A339,Operations!$A$3:$F$132,6,FALSE)*INDEX(Operations!$L$3:$O$132,MATCH(Link!A339,Operations!$A$3:$A$132,0),MATCH(Link!D339,Operations!$L$2:$O$2,0)),0))</f>
        <v>0</v>
      </c>
      <c r="G339" s="29" t="e">
        <f>ROUND((3600*F339/SUMIF($E$2:$E$521,E339,$F$2:$F$521))/VLOOKUP(A339,Operations!$A$3:$F$132,6,FALSE),0)</f>
        <v>#DIV/0!</v>
      </c>
      <c r="H339" s="28" t="e">
        <f t="shared" si="5"/>
        <v>#DIV/0!</v>
      </c>
    </row>
    <row r="340" spans="1:8" x14ac:dyDescent="0.3">
      <c r="A340" s="8" t="s">
        <v>86</v>
      </c>
      <c r="B340" s="8">
        <f>VLOOKUP(A340,Operations!$A$3:$B$132,2,TRUE)</f>
        <v>0</v>
      </c>
      <c r="C340" s="8">
        <f>VLOOKUP(A340,Operations!$A$3:$C$132,3,0)</f>
        <v>0</v>
      </c>
      <c r="D340" s="2" t="s">
        <v>151</v>
      </c>
      <c r="E340" s="2">
        <f>IFERROR(INDEX(Operations!$H$3:$K$132,MATCH(A340,Operations!$A$3:$A$132,0),MATCH(Link!D340,Operations!$H$2:$K$2,0)),"")</f>
        <v>0</v>
      </c>
      <c r="F340" t="b">
        <f>IF(E340&lt;&gt;0,IFERROR(VLOOKUP(A340,Operations!$A$3:$F$132,6,FALSE)*INDEX(Operations!$L$3:$O$132,MATCH(Link!A340,Operations!$A$3:$A$132,0),MATCH(Link!D340,Operations!$L$2:$O$2,0)),0))</f>
        <v>0</v>
      </c>
      <c r="G340" s="29" t="e">
        <f>ROUND((3600*F340/SUMIF($E$2:$E$521,E340,$F$2:$F$521))/VLOOKUP(A340,Operations!$A$3:$F$132,6,FALSE),0)</f>
        <v>#DIV/0!</v>
      </c>
      <c r="H340" s="28" t="e">
        <f t="shared" si="5"/>
        <v>#DIV/0!</v>
      </c>
    </row>
    <row r="341" spans="1:8" x14ac:dyDescent="0.3">
      <c r="A341" s="8" t="s">
        <v>87</v>
      </c>
      <c r="B341" s="8">
        <f>VLOOKUP(A341,Operations!$A$3:$B$132,2,TRUE)</f>
        <v>0</v>
      </c>
      <c r="C341" s="8">
        <f>VLOOKUP(A341,Operations!$A$3:$C$132,3,0)</f>
        <v>0</v>
      </c>
      <c r="D341" s="2" t="s">
        <v>151</v>
      </c>
      <c r="E341" s="2">
        <f>IFERROR(INDEX(Operations!$H$3:$K$132,MATCH(A341,Operations!$A$3:$A$132,0),MATCH(Link!D341,Operations!$H$2:$K$2,0)),"")</f>
        <v>0</v>
      </c>
      <c r="F341" t="b">
        <f>IF(E341&lt;&gt;0,IFERROR(VLOOKUP(A341,Operations!$A$3:$F$132,6,FALSE)*INDEX(Operations!$L$3:$O$132,MATCH(Link!A341,Operations!$A$3:$A$132,0),MATCH(Link!D341,Operations!$L$2:$O$2,0)),0))</f>
        <v>0</v>
      </c>
      <c r="G341" s="29" t="e">
        <f>ROUND((3600*F341/SUMIF($E$2:$E$521,E341,$F$2:$F$521))/VLOOKUP(A341,Operations!$A$3:$F$132,6,FALSE),0)</f>
        <v>#DIV/0!</v>
      </c>
      <c r="H341" s="28" t="e">
        <f t="shared" si="5"/>
        <v>#DIV/0!</v>
      </c>
    </row>
    <row r="342" spans="1:8" x14ac:dyDescent="0.3">
      <c r="A342" s="8" t="s">
        <v>88</v>
      </c>
      <c r="B342" s="8">
        <f>VLOOKUP(A342,Operations!$A$3:$B$132,2,TRUE)</f>
        <v>0</v>
      </c>
      <c r="C342" s="8">
        <f>VLOOKUP(A342,Operations!$A$3:$C$132,3,0)</f>
        <v>0</v>
      </c>
      <c r="D342" s="2" t="s">
        <v>151</v>
      </c>
      <c r="E342" s="2">
        <f>IFERROR(INDEX(Operations!$H$3:$K$132,MATCH(A342,Operations!$A$3:$A$132,0),MATCH(Link!D342,Operations!$H$2:$K$2,0)),"")</f>
        <v>0</v>
      </c>
      <c r="F342" t="b">
        <f>IF(E342&lt;&gt;0,IFERROR(VLOOKUP(A342,Operations!$A$3:$F$132,6,FALSE)*INDEX(Operations!$L$3:$O$132,MATCH(Link!A342,Operations!$A$3:$A$132,0),MATCH(Link!D342,Operations!$L$2:$O$2,0)),0))</f>
        <v>0</v>
      </c>
      <c r="G342" s="29" t="e">
        <f>ROUND((3600*F342/SUMIF($E$2:$E$521,E342,$F$2:$F$521))/VLOOKUP(A342,Operations!$A$3:$F$132,6,FALSE),0)</f>
        <v>#DIV/0!</v>
      </c>
      <c r="H342" s="28" t="e">
        <f t="shared" si="5"/>
        <v>#DIV/0!</v>
      </c>
    </row>
    <row r="343" spans="1:8" x14ac:dyDescent="0.3">
      <c r="A343" s="8" t="s">
        <v>89</v>
      </c>
      <c r="B343" s="8">
        <f>VLOOKUP(A343,Operations!$A$3:$B$132,2,TRUE)</f>
        <v>0</v>
      </c>
      <c r="C343" s="8">
        <f>VLOOKUP(A343,Operations!$A$3:$C$132,3,0)</f>
        <v>0</v>
      </c>
      <c r="D343" s="2" t="s">
        <v>151</v>
      </c>
      <c r="E343" s="2">
        <f>IFERROR(INDEX(Operations!$H$3:$K$132,MATCH(A343,Operations!$A$3:$A$132,0),MATCH(Link!D343,Operations!$H$2:$K$2,0)),"")</f>
        <v>0</v>
      </c>
      <c r="F343" t="b">
        <f>IF(E343&lt;&gt;0,IFERROR(VLOOKUP(A343,Operations!$A$3:$F$132,6,FALSE)*INDEX(Operations!$L$3:$O$132,MATCH(Link!A343,Operations!$A$3:$A$132,0),MATCH(Link!D343,Operations!$L$2:$O$2,0)),0))</f>
        <v>0</v>
      </c>
      <c r="G343" s="29" t="e">
        <f>ROUND((3600*F343/SUMIF($E$2:$E$521,E343,$F$2:$F$521))/VLOOKUP(A343,Operations!$A$3:$F$132,6,FALSE),0)</f>
        <v>#DIV/0!</v>
      </c>
      <c r="H343" s="28" t="e">
        <f t="shared" si="5"/>
        <v>#DIV/0!</v>
      </c>
    </row>
    <row r="344" spans="1:8" x14ac:dyDescent="0.3">
      <c r="A344" s="8" t="s">
        <v>90</v>
      </c>
      <c r="B344" s="8">
        <f>VLOOKUP(A344,Operations!$A$3:$B$132,2,TRUE)</f>
        <v>0</v>
      </c>
      <c r="C344" s="8">
        <f>VLOOKUP(A344,Operations!$A$3:$C$132,3,0)</f>
        <v>0</v>
      </c>
      <c r="D344" s="2" t="s">
        <v>151</v>
      </c>
      <c r="E344" s="2">
        <f>IFERROR(INDEX(Operations!$H$3:$K$132,MATCH(A344,Operations!$A$3:$A$132,0),MATCH(Link!D344,Operations!$H$2:$K$2,0)),"")</f>
        <v>0</v>
      </c>
      <c r="F344" t="b">
        <f>IF(E344&lt;&gt;0,IFERROR(VLOOKUP(A344,Operations!$A$3:$F$132,6,FALSE)*INDEX(Operations!$L$3:$O$132,MATCH(Link!A344,Operations!$A$3:$A$132,0),MATCH(Link!D344,Operations!$L$2:$O$2,0)),0))</f>
        <v>0</v>
      </c>
      <c r="G344" s="29" t="e">
        <f>ROUND((3600*F344/SUMIF($E$2:$E$521,E344,$F$2:$F$521))/VLOOKUP(A344,Operations!$A$3:$F$132,6,FALSE),0)</f>
        <v>#DIV/0!</v>
      </c>
      <c r="H344" s="28" t="e">
        <f t="shared" si="5"/>
        <v>#DIV/0!</v>
      </c>
    </row>
    <row r="345" spans="1:8" x14ac:dyDescent="0.3">
      <c r="A345" s="8" t="s">
        <v>91</v>
      </c>
      <c r="B345" s="8">
        <f>VLOOKUP(A345,Operations!$A$3:$B$132,2,TRUE)</f>
        <v>0</v>
      </c>
      <c r="C345" s="8">
        <f>VLOOKUP(A345,Operations!$A$3:$C$132,3,0)</f>
        <v>0</v>
      </c>
      <c r="D345" s="2" t="s">
        <v>151</v>
      </c>
      <c r="E345" s="2">
        <f>IFERROR(INDEX(Operations!$H$3:$K$132,MATCH(A345,Operations!$A$3:$A$132,0),MATCH(Link!D345,Operations!$H$2:$K$2,0)),"")</f>
        <v>0</v>
      </c>
      <c r="F345" t="b">
        <f>IF(E345&lt;&gt;0,IFERROR(VLOOKUP(A345,Operations!$A$3:$F$132,6,FALSE)*INDEX(Operations!$L$3:$O$132,MATCH(Link!A345,Operations!$A$3:$A$132,0),MATCH(Link!D345,Operations!$L$2:$O$2,0)),0))</f>
        <v>0</v>
      </c>
      <c r="G345" s="29" t="e">
        <f>ROUND((3600*F345/SUMIF($E$2:$E$521,E345,$F$2:$F$521))/VLOOKUP(A345,Operations!$A$3:$F$132,6,FALSE),0)</f>
        <v>#DIV/0!</v>
      </c>
      <c r="H345" s="28" t="e">
        <f t="shared" si="5"/>
        <v>#DIV/0!</v>
      </c>
    </row>
    <row r="346" spans="1:8" x14ac:dyDescent="0.3">
      <c r="A346" s="8" t="s">
        <v>92</v>
      </c>
      <c r="B346" s="8">
        <f>VLOOKUP(A346,Operations!$A$3:$B$132,2,TRUE)</f>
        <v>0</v>
      </c>
      <c r="C346" s="8">
        <f>VLOOKUP(A346,Operations!$A$3:$C$132,3,0)</f>
        <v>0</v>
      </c>
      <c r="D346" s="2" t="s">
        <v>151</v>
      </c>
      <c r="E346" s="2">
        <f>IFERROR(INDEX(Operations!$H$3:$K$132,MATCH(A346,Operations!$A$3:$A$132,0),MATCH(Link!D346,Operations!$H$2:$K$2,0)),"")</f>
        <v>0</v>
      </c>
      <c r="F346" t="b">
        <f>IF(E346&lt;&gt;0,IFERROR(VLOOKUP(A346,Operations!$A$3:$F$132,6,FALSE)*INDEX(Operations!$L$3:$O$132,MATCH(Link!A346,Operations!$A$3:$A$132,0),MATCH(Link!D346,Operations!$L$2:$O$2,0)),0))</f>
        <v>0</v>
      </c>
      <c r="G346" s="29" t="e">
        <f>ROUND((3600*F346/SUMIF($E$2:$E$521,E346,$F$2:$F$521))/VLOOKUP(A346,Operations!$A$3:$F$132,6,FALSE),0)</f>
        <v>#DIV/0!</v>
      </c>
      <c r="H346" s="28" t="e">
        <f t="shared" si="5"/>
        <v>#DIV/0!</v>
      </c>
    </row>
    <row r="347" spans="1:8" x14ac:dyDescent="0.3">
      <c r="A347" s="8" t="s">
        <v>93</v>
      </c>
      <c r="B347" s="8">
        <f>VLOOKUP(A347,Operations!$A$3:$B$132,2,TRUE)</f>
        <v>0</v>
      </c>
      <c r="C347" s="8">
        <f>VLOOKUP(A347,Operations!$A$3:$C$132,3,0)</f>
        <v>0</v>
      </c>
      <c r="D347" s="2" t="s">
        <v>151</v>
      </c>
      <c r="E347" s="2">
        <f>IFERROR(INDEX(Operations!$H$3:$K$132,MATCH(A347,Operations!$A$3:$A$132,0),MATCH(Link!D347,Operations!$H$2:$K$2,0)),"")</f>
        <v>0</v>
      </c>
      <c r="F347" t="b">
        <f>IF(E347&lt;&gt;0,IFERROR(VLOOKUP(A347,Operations!$A$3:$F$132,6,FALSE)*INDEX(Operations!$L$3:$O$132,MATCH(Link!A347,Operations!$A$3:$A$132,0),MATCH(Link!D347,Operations!$L$2:$O$2,0)),0))</f>
        <v>0</v>
      </c>
      <c r="G347" s="29" t="e">
        <f>ROUND((3600*F347/SUMIF($E$2:$E$521,E347,$F$2:$F$521))/VLOOKUP(A347,Operations!$A$3:$F$132,6,FALSE),0)</f>
        <v>#DIV/0!</v>
      </c>
      <c r="H347" s="28" t="e">
        <f t="shared" si="5"/>
        <v>#DIV/0!</v>
      </c>
    </row>
    <row r="348" spans="1:8" x14ac:dyDescent="0.3">
      <c r="A348" s="8" t="s">
        <v>94</v>
      </c>
      <c r="B348" s="8">
        <f>VLOOKUP(A348,Operations!$A$3:$B$132,2,TRUE)</f>
        <v>0</v>
      </c>
      <c r="C348" s="8">
        <f>VLOOKUP(A348,Operations!$A$3:$C$132,3,0)</f>
        <v>0</v>
      </c>
      <c r="D348" s="2" t="s">
        <v>151</v>
      </c>
      <c r="E348" s="2">
        <f>IFERROR(INDEX(Operations!$H$3:$K$132,MATCH(A348,Operations!$A$3:$A$132,0),MATCH(Link!D348,Operations!$H$2:$K$2,0)),"")</f>
        <v>0</v>
      </c>
      <c r="F348" t="b">
        <f>IF(E348&lt;&gt;0,IFERROR(VLOOKUP(A348,Operations!$A$3:$F$132,6,FALSE)*INDEX(Operations!$L$3:$O$132,MATCH(Link!A348,Operations!$A$3:$A$132,0),MATCH(Link!D348,Operations!$L$2:$O$2,0)),0))</f>
        <v>0</v>
      </c>
      <c r="G348" s="29" t="e">
        <f>ROUND((3600*F348/SUMIF($E$2:$E$521,E348,$F$2:$F$521))/VLOOKUP(A348,Operations!$A$3:$F$132,6,FALSE),0)</f>
        <v>#DIV/0!</v>
      </c>
      <c r="H348" s="28" t="e">
        <f t="shared" si="5"/>
        <v>#DIV/0!</v>
      </c>
    </row>
    <row r="349" spans="1:8" x14ac:dyDescent="0.3">
      <c r="A349" s="8" t="s">
        <v>95</v>
      </c>
      <c r="B349" s="8">
        <f>VLOOKUP(A349,Operations!$A$3:$B$132,2,TRUE)</f>
        <v>0</v>
      </c>
      <c r="C349" s="8">
        <f>VLOOKUP(A349,Operations!$A$3:$C$132,3,0)</f>
        <v>0</v>
      </c>
      <c r="D349" s="2" t="s">
        <v>151</v>
      </c>
      <c r="E349" s="2">
        <f>IFERROR(INDEX(Operations!$H$3:$K$132,MATCH(A349,Operations!$A$3:$A$132,0),MATCH(Link!D349,Operations!$H$2:$K$2,0)),"")</f>
        <v>0</v>
      </c>
      <c r="F349" t="b">
        <f>IF(E349&lt;&gt;0,IFERROR(VLOOKUP(A349,Operations!$A$3:$F$132,6,FALSE)*INDEX(Operations!$L$3:$O$132,MATCH(Link!A349,Operations!$A$3:$A$132,0),MATCH(Link!D349,Operations!$L$2:$O$2,0)),0))</f>
        <v>0</v>
      </c>
      <c r="G349" s="29" t="e">
        <f>ROUND((3600*F349/SUMIF($E$2:$E$521,E349,$F$2:$F$521))/VLOOKUP(A349,Operations!$A$3:$F$132,6,FALSE),0)</f>
        <v>#DIV/0!</v>
      </c>
      <c r="H349" s="28" t="e">
        <f t="shared" si="5"/>
        <v>#DIV/0!</v>
      </c>
    </row>
    <row r="350" spans="1:8" x14ac:dyDescent="0.3">
      <c r="A350" s="8" t="s">
        <v>96</v>
      </c>
      <c r="B350" s="8">
        <f>VLOOKUP(A350,Operations!$A$3:$B$132,2,TRUE)</f>
        <v>0</v>
      </c>
      <c r="C350" s="8">
        <f>VLOOKUP(A350,Operations!$A$3:$C$132,3,0)</f>
        <v>0</v>
      </c>
      <c r="D350" s="2" t="s">
        <v>151</v>
      </c>
      <c r="E350" s="2">
        <f>IFERROR(INDEX(Operations!$H$3:$K$132,MATCH(A350,Operations!$A$3:$A$132,0),MATCH(Link!D350,Operations!$H$2:$K$2,0)),"")</f>
        <v>0</v>
      </c>
      <c r="F350" t="b">
        <f>IF(E350&lt;&gt;0,IFERROR(VLOOKUP(A350,Operations!$A$3:$F$132,6,FALSE)*INDEX(Operations!$L$3:$O$132,MATCH(Link!A350,Operations!$A$3:$A$132,0),MATCH(Link!D350,Operations!$L$2:$O$2,0)),0))</f>
        <v>0</v>
      </c>
      <c r="G350" s="29" t="e">
        <f>ROUND((3600*F350/SUMIF($E$2:$E$521,E350,$F$2:$F$521))/VLOOKUP(A350,Operations!$A$3:$F$132,6,FALSE),0)</f>
        <v>#DIV/0!</v>
      </c>
      <c r="H350" s="28" t="e">
        <f t="shared" si="5"/>
        <v>#DIV/0!</v>
      </c>
    </row>
    <row r="351" spans="1:8" x14ac:dyDescent="0.3">
      <c r="A351" s="8" t="s">
        <v>97</v>
      </c>
      <c r="B351" s="8">
        <f>VLOOKUP(A351,Operations!$A$3:$B$132,2,TRUE)</f>
        <v>0</v>
      </c>
      <c r="C351" s="8">
        <f>VLOOKUP(A351,Operations!$A$3:$C$132,3,0)</f>
        <v>0</v>
      </c>
      <c r="D351" s="2" t="s">
        <v>151</v>
      </c>
      <c r="E351" s="2">
        <f>IFERROR(INDEX(Operations!$H$3:$K$132,MATCH(A351,Operations!$A$3:$A$132,0),MATCH(Link!D351,Operations!$H$2:$K$2,0)),"")</f>
        <v>0</v>
      </c>
      <c r="F351" t="b">
        <f>IF(E351&lt;&gt;0,IFERROR(VLOOKUP(A351,Operations!$A$3:$F$132,6,FALSE)*INDEX(Operations!$L$3:$O$132,MATCH(Link!A351,Operations!$A$3:$A$132,0),MATCH(Link!D351,Operations!$L$2:$O$2,0)),0))</f>
        <v>0</v>
      </c>
      <c r="G351" s="29" t="e">
        <f>ROUND((3600*F351/SUMIF($E$2:$E$521,E351,$F$2:$F$521))/VLOOKUP(A351,Operations!$A$3:$F$132,6,FALSE),0)</f>
        <v>#DIV/0!</v>
      </c>
      <c r="H351" s="28" t="e">
        <f t="shared" si="5"/>
        <v>#DIV/0!</v>
      </c>
    </row>
    <row r="352" spans="1:8" x14ac:dyDescent="0.3">
      <c r="A352" s="8" t="s">
        <v>98</v>
      </c>
      <c r="B352" s="8">
        <f>VLOOKUP(A352,Operations!$A$3:$B$132,2,TRUE)</f>
        <v>0</v>
      </c>
      <c r="C352" s="8">
        <f>VLOOKUP(A352,Operations!$A$3:$C$132,3,0)</f>
        <v>0</v>
      </c>
      <c r="D352" s="2" t="s">
        <v>151</v>
      </c>
      <c r="E352" s="2">
        <f>IFERROR(INDEX(Operations!$H$3:$K$132,MATCH(A352,Operations!$A$3:$A$132,0),MATCH(Link!D352,Operations!$H$2:$K$2,0)),"")</f>
        <v>0</v>
      </c>
      <c r="F352" t="b">
        <f>IF(E352&lt;&gt;0,IFERROR(VLOOKUP(A352,Operations!$A$3:$F$132,6,FALSE)*INDEX(Operations!$L$3:$O$132,MATCH(Link!A352,Operations!$A$3:$A$132,0),MATCH(Link!D352,Operations!$L$2:$O$2,0)),0))</f>
        <v>0</v>
      </c>
      <c r="G352" s="29" t="e">
        <f>ROUND((3600*F352/SUMIF($E$2:$E$521,E352,$F$2:$F$521))/VLOOKUP(A352,Operations!$A$3:$F$132,6,FALSE),0)</f>
        <v>#DIV/0!</v>
      </c>
      <c r="H352" s="28" t="e">
        <f t="shared" si="5"/>
        <v>#DIV/0!</v>
      </c>
    </row>
    <row r="353" spans="1:8" x14ac:dyDescent="0.3">
      <c r="A353" s="8" t="s">
        <v>99</v>
      </c>
      <c r="B353" s="8">
        <f>VLOOKUP(A353,Operations!$A$3:$B$132,2,TRUE)</f>
        <v>0</v>
      </c>
      <c r="C353" s="8">
        <f>VLOOKUP(A353,Operations!$A$3:$C$132,3,0)</f>
        <v>0</v>
      </c>
      <c r="D353" s="2" t="s">
        <v>151</v>
      </c>
      <c r="E353" s="2">
        <f>IFERROR(INDEX(Operations!$H$3:$K$132,MATCH(A353,Operations!$A$3:$A$132,0),MATCH(Link!D353,Operations!$H$2:$K$2,0)),"")</f>
        <v>0</v>
      </c>
      <c r="F353" t="b">
        <f>IF(E353&lt;&gt;0,IFERROR(VLOOKUP(A353,Operations!$A$3:$F$132,6,FALSE)*INDEX(Operations!$L$3:$O$132,MATCH(Link!A353,Operations!$A$3:$A$132,0),MATCH(Link!D353,Operations!$L$2:$O$2,0)),0))</f>
        <v>0</v>
      </c>
      <c r="G353" s="29" t="e">
        <f>ROUND((3600*F353/SUMIF($E$2:$E$521,E353,$F$2:$F$521))/VLOOKUP(A353,Operations!$A$3:$F$132,6,FALSE),0)</f>
        <v>#DIV/0!</v>
      </c>
      <c r="H353" s="28" t="e">
        <f t="shared" si="5"/>
        <v>#DIV/0!</v>
      </c>
    </row>
    <row r="354" spans="1:8" x14ac:dyDescent="0.3">
      <c r="A354" s="8" t="s">
        <v>100</v>
      </c>
      <c r="B354" s="8">
        <f>VLOOKUP(A354,Operations!$A$3:$B$132,2,TRUE)</f>
        <v>0</v>
      </c>
      <c r="C354" s="8">
        <f>VLOOKUP(A354,Operations!$A$3:$C$132,3,0)</f>
        <v>0</v>
      </c>
      <c r="D354" s="2" t="s">
        <v>151</v>
      </c>
      <c r="E354" s="2">
        <f>IFERROR(INDEX(Operations!$H$3:$K$132,MATCH(A354,Operations!$A$3:$A$132,0),MATCH(Link!D354,Operations!$H$2:$K$2,0)),"")</f>
        <v>0</v>
      </c>
      <c r="F354" t="b">
        <f>IF(E354&lt;&gt;0,IFERROR(VLOOKUP(A354,Operations!$A$3:$F$132,6,FALSE)*INDEX(Operations!$L$3:$O$132,MATCH(Link!A354,Operations!$A$3:$A$132,0),MATCH(Link!D354,Operations!$L$2:$O$2,0)),0))</f>
        <v>0</v>
      </c>
      <c r="G354" s="29" t="e">
        <f>ROUND((3600*F354/SUMIF($E$2:$E$521,E354,$F$2:$F$521))/VLOOKUP(A354,Operations!$A$3:$F$132,6,FALSE),0)</f>
        <v>#DIV/0!</v>
      </c>
      <c r="H354" s="28" t="e">
        <f t="shared" si="5"/>
        <v>#DIV/0!</v>
      </c>
    </row>
    <row r="355" spans="1:8" x14ac:dyDescent="0.3">
      <c r="A355" s="8" t="s">
        <v>101</v>
      </c>
      <c r="B355" s="8">
        <f>VLOOKUP(A355,Operations!$A$3:$B$132,2,TRUE)</f>
        <v>0</v>
      </c>
      <c r="C355" s="8">
        <f>VLOOKUP(A355,Operations!$A$3:$C$132,3,0)</f>
        <v>0</v>
      </c>
      <c r="D355" s="2" t="s">
        <v>151</v>
      </c>
      <c r="E355" s="2">
        <f>IFERROR(INDEX(Operations!$H$3:$K$132,MATCH(A355,Operations!$A$3:$A$132,0),MATCH(Link!D355,Operations!$H$2:$K$2,0)),"")</f>
        <v>0</v>
      </c>
      <c r="F355" t="b">
        <f>IF(E355&lt;&gt;0,IFERROR(VLOOKUP(A355,Operations!$A$3:$F$132,6,FALSE)*INDEX(Operations!$L$3:$O$132,MATCH(Link!A355,Operations!$A$3:$A$132,0),MATCH(Link!D355,Operations!$L$2:$O$2,0)),0))</f>
        <v>0</v>
      </c>
      <c r="G355" s="29" t="e">
        <f>ROUND((3600*F355/SUMIF($E$2:$E$521,E355,$F$2:$F$521))/VLOOKUP(A355,Operations!$A$3:$F$132,6,FALSE),0)</f>
        <v>#DIV/0!</v>
      </c>
      <c r="H355" s="28" t="e">
        <f t="shared" si="5"/>
        <v>#DIV/0!</v>
      </c>
    </row>
    <row r="356" spans="1:8" x14ac:dyDescent="0.3">
      <c r="A356" s="8" t="s">
        <v>102</v>
      </c>
      <c r="B356" s="8">
        <f>VLOOKUP(A356,Operations!$A$3:$B$132,2,TRUE)</f>
        <v>0</v>
      </c>
      <c r="C356" s="8">
        <f>VLOOKUP(A356,Operations!$A$3:$C$132,3,0)</f>
        <v>0</v>
      </c>
      <c r="D356" s="2" t="s">
        <v>151</v>
      </c>
      <c r="E356" s="2">
        <f>IFERROR(INDEX(Operations!$H$3:$K$132,MATCH(A356,Operations!$A$3:$A$132,0),MATCH(Link!D356,Operations!$H$2:$K$2,0)),"")</f>
        <v>0</v>
      </c>
      <c r="F356" t="b">
        <f>IF(E356&lt;&gt;0,IFERROR(VLOOKUP(A356,Operations!$A$3:$F$132,6,FALSE)*INDEX(Operations!$L$3:$O$132,MATCH(Link!A356,Operations!$A$3:$A$132,0),MATCH(Link!D356,Operations!$L$2:$O$2,0)),0))</f>
        <v>0</v>
      </c>
      <c r="G356" s="29" t="e">
        <f>ROUND((3600*F356/SUMIF($E$2:$E$521,E356,$F$2:$F$521))/VLOOKUP(A356,Operations!$A$3:$F$132,6,FALSE),0)</f>
        <v>#DIV/0!</v>
      </c>
      <c r="H356" s="28" t="e">
        <f t="shared" si="5"/>
        <v>#DIV/0!</v>
      </c>
    </row>
    <row r="357" spans="1:8" x14ac:dyDescent="0.3">
      <c r="A357" s="8" t="s">
        <v>103</v>
      </c>
      <c r="B357" s="8">
        <f>VLOOKUP(A357,Operations!$A$3:$B$132,2,TRUE)</f>
        <v>0</v>
      </c>
      <c r="C357" s="8">
        <f>VLOOKUP(A357,Operations!$A$3:$C$132,3,0)</f>
        <v>0</v>
      </c>
      <c r="D357" s="2" t="s">
        <v>151</v>
      </c>
      <c r="E357" s="2">
        <f>IFERROR(INDEX(Operations!$H$3:$K$132,MATCH(A357,Operations!$A$3:$A$132,0),MATCH(Link!D357,Operations!$H$2:$K$2,0)),"")</f>
        <v>0</v>
      </c>
      <c r="F357" t="b">
        <f>IF(E357&lt;&gt;0,IFERROR(VLOOKUP(A357,Operations!$A$3:$F$132,6,FALSE)*INDEX(Operations!$L$3:$O$132,MATCH(Link!A357,Operations!$A$3:$A$132,0),MATCH(Link!D357,Operations!$L$2:$O$2,0)),0))</f>
        <v>0</v>
      </c>
      <c r="G357" s="29" t="e">
        <f>ROUND((3600*F357/SUMIF($E$2:$E$521,E357,$F$2:$F$521))/VLOOKUP(A357,Operations!$A$3:$F$132,6,FALSE),0)</f>
        <v>#DIV/0!</v>
      </c>
      <c r="H357" s="28" t="e">
        <f t="shared" si="5"/>
        <v>#DIV/0!</v>
      </c>
    </row>
    <row r="358" spans="1:8" x14ac:dyDescent="0.3">
      <c r="A358" s="8" t="s">
        <v>104</v>
      </c>
      <c r="B358" s="8">
        <f>VLOOKUP(A358,Operations!$A$3:$B$132,2,TRUE)</f>
        <v>0</v>
      </c>
      <c r="C358" s="8">
        <f>VLOOKUP(A358,Operations!$A$3:$C$132,3,0)</f>
        <v>0</v>
      </c>
      <c r="D358" s="2" t="s">
        <v>151</v>
      </c>
      <c r="E358" s="2">
        <f>IFERROR(INDEX(Operations!$H$3:$K$132,MATCH(A358,Operations!$A$3:$A$132,0),MATCH(Link!D358,Operations!$H$2:$K$2,0)),"")</f>
        <v>0</v>
      </c>
      <c r="F358" t="b">
        <f>IF(E358&lt;&gt;0,IFERROR(VLOOKUP(A358,Operations!$A$3:$F$132,6,FALSE)*INDEX(Operations!$L$3:$O$132,MATCH(Link!A358,Operations!$A$3:$A$132,0),MATCH(Link!D358,Operations!$L$2:$O$2,0)),0))</f>
        <v>0</v>
      </c>
      <c r="G358" s="29" t="e">
        <f>ROUND((3600*F358/SUMIF($E$2:$E$521,E358,$F$2:$F$521))/VLOOKUP(A358,Operations!$A$3:$F$132,6,FALSE),0)</f>
        <v>#DIV/0!</v>
      </c>
      <c r="H358" s="28" t="e">
        <f t="shared" si="5"/>
        <v>#DIV/0!</v>
      </c>
    </row>
    <row r="359" spans="1:8" x14ac:dyDescent="0.3">
      <c r="A359" s="8" t="s">
        <v>105</v>
      </c>
      <c r="B359" s="8">
        <f>VLOOKUP(A359,Operations!$A$3:$B$132,2,TRUE)</f>
        <v>0</v>
      </c>
      <c r="C359" s="8">
        <f>VLOOKUP(A359,Operations!$A$3:$C$132,3,0)</f>
        <v>0</v>
      </c>
      <c r="D359" s="2" t="s">
        <v>151</v>
      </c>
      <c r="E359" s="2">
        <f>IFERROR(INDEX(Operations!$H$3:$K$132,MATCH(A359,Operations!$A$3:$A$132,0),MATCH(Link!D359,Operations!$H$2:$K$2,0)),"")</f>
        <v>0</v>
      </c>
      <c r="F359" t="b">
        <f>IF(E359&lt;&gt;0,IFERROR(VLOOKUP(A359,Operations!$A$3:$F$132,6,FALSE)*INDEX(Operations!$L$3:$O$132,MATCH(Link!A359,Operations!$A$3:$A$132,0),MATCH(Link!D359,Operations!$L$2:$O$2,0)),0))</f>
        <v>0</v>
      </c>
      <c r="G359" s="29" t="e">
        <f>ROUND((3600*F359/SUMIF($E$2:$E$521,E359,$F$2:$F$521))/VLOOKUP(A359,Operations!$A$3:$F$132,6,FALSE),0)</f>
        <v>#DIV/0!</v>
      </c>
      <c r="H359" s="28" t="e">
        <f t="shared" si="5"/>
        <v>#DIV/0!</v>
      </c>
    </row>
    <row r="360" spans="1:8" x14ac:dyDescent="0.3">
      <c r="A360" s="8" t="s">
        <v>106</v>
      </c>
      <c r="B360" s="8">
        <f>VLOOKUP(A360,Operations!$A$3:$B$132,2,TRUE)</f>
        <v>0</v>
      </c>
      <c r="C360" s="8">
        <f>VLOOKUP(A360,Operations!$A$3:$C$132,3,0)</f>
        <v>0</v>
      </c>
      <c r="D360" s="2" t="s">
        <v>151</v>
      </c>
      <c r="E360" s="2">
        <f>IFERROR(INDEX(Operations!$H$3:$K$132,MATCH(A360,Operations!$A$3:$A$132,0),MATCH(Link!D360,Operations!$H$2:$K$2,0)),"")</f>
        <v>0</v>
      </c>
      <c r="F360" t="b">
        <f>IF(E360&lt;&gt;0,IFERROR(VLOOKUP(A360,Operations!$A$3:$F$132,6,FALSE)*INDEX(Operations!$L$3:$O$132,MATCH(Link!A360,Operations!$A$3:$A$132,0),MATCH(Link!D360,Operations!$L$2:$O$2,0)),0))</f>
        <v>0</v>
      </c>
      <c r="G360" s="29" t="e">
        <f>ROUND((3600*F360/SUMIF($E$2:$E$521,E360,$F$2:$F$521))/VLOOKUP(A360,Operations!$A$3:$F$132,6,FALSE),0)</f>
        <v>#DIV/0!</v>
      </c>
      <c r="H360" s="28" t="e">
        <f t="shared" si="5"/>
        <v>#DIV/0!</v>
      </c>
    </row>
    <row r="361" spans="1:8" x14ac:dyDescent="0.3">
      <c r="A361" s="8" t="s">
        <v>107</v>
      </c>
      <c r="B361" s="8">
        <f>VLOOKUP(A361,Operations!$A$3:$B$132,2,TRUE)</f>
        <v>7</v>
      </c>
      <c r="C361" s="8">
        <f>VLOOKUP(A361,Operations!$A$3:$C$132,3,0)</f>
        <v>0</v>
      </c>
      <c r="D361" s="2" t="s">
        <v>151</v>
      </c>
      <c r="E361" s="2">
        <f>IFERROR(INDEX(Operations!$H$3:$K$132,MATCH(A361,Operations!$A$3:$A$132,0),MATCH(Link!D361,Operations!$H$2:$K$2,0)),"")</f>
        <v>0</v>
      </c>
      <c r="F361" t="b">
        <f>IF(E361&lt;&gt;0,IFERROR(VLOOKUP(A361,Operations!$A$3:$F$132,6,FALSE)*INDEX(Operations!$L$3:$O$132,MATCH(Link!A361,Operations!$A$3:$A$132,0),MATCH(Link!D361,Operations!$L$2:$O$2,0)),0))</f>
        <v>0</v>
      </c>
      <c r="G361" s="29" t="e">
        <f>ROUND((3600*F361/SUMIF($E$2:$E$521,E361,$F$2:$F$521))/VLOOKUP(A361,Operations!$A$3:$F$132,6,FALSE),0)</f>
        <v>#DIV/0!</v>
      </c>
      <c r="H361" s="28" t="e">
        <f t="shared" si="5"/>
        <v>#DIV/0!</v>
      </c>
    </row>
    <row r="362" spans="1:8" x14ac:dyDescent="0.3">
      <c r="A362" s="8" t="s">
        <v>108</v>
      </c>
      <c r="B362" s="8">
        <f>VLOOKUP(A362,Operations!$A$3:$B$132,2,TRUE)</f>
        <v>7</v>
      </c>
      <c r="C362" s="8">
        <f>VLOOKUP(A362,Operations!$A$3:$C$132,3,0)</f>
        <v>0</v>
      </c>
      <c r="D362" s="2" t="s">
        <v>151</v>
      </c>
      <c r="E362" s="2">
        <f>IFERROR(INDEX(Operations!$H$3:$K$132,MATCH(A362,Operations!$A$3:$A$132,0),MATCH(Link!D362,Operations!$H$2:$K$2,0)),"")</f>
        <v>0</v>
      </c>
      <c r="F362" t="b">
        <f>IF(E362&lt;&gt;0,IFERROR(VLOOKUP(A362,Operations!$A$3:$F$132,6,FALSE)*INDEX(Operations!$L$3:$O$132,MATCH(Link!A362,Operations!$A$3:$A$132,0),MATCH(Link!D362,Operations!$L$2:$O$2,0)),0))</f>
        <v>0</v>
      </c>
      <c r="G362" s="29" t="e">
        <f>ROUND((3600*F362/SUMIF($E$2:$E$521,E362,$F$2:$F$521))/VLOOKUP(A362,Operations!$A$3:$F$132,6,FALSE),0)</f>
        <v>#DIV/0!</v>
      </c>
      <c r="H362" s="28" t="e">
        <f t="shared" si="5"/>
        <v>#DIV/0!</v>
      </c>
    </row>
    <row r="363" spans="1:8" x14ac:dyDescent="0.3">
      <c r="A363" s="8" t="s">
        <v>109</v>
      </c>
      <c r="B363" s="8">
        <f>VLOOKUP(A363,Operations!$A$3:$B$132,2,TRUE)</f>
        <v>7</v>
      </c>
      <c r="C363" s="8">
        <f>VLOOKUP(A363,Operations!$A$3:$C$132,3,0)</f>
        <v>0</v>
      </c>
      <c r="D363" s="2" t="s">
        <v>151</v>
      </c>
      <c r="E363" s="2">
        <f>IFERROR(INDEX(Operations!$H$3:$K$132,MATCH(A363,Operations!$A$3:$A$132,0),MATCH(Link!D363,Operations!$H$2:$K$2,0)),"")</f>
        <v>0</v>
      </c>
      <c r="F363" t="b">
        <f>IF(E363&lt;&gt;0,IFERROR(VLOOKUP(A363,Operations!$A$3:$F$132,6,FALSE)*INDEX(Operations!$L$3:$O$132,MATCH(Link!A363,Operations!$A$3:$A$132,0),MATCH(Link!D363,Operations!$L$2:$O$2,0)),0))</f>
        <v>0</v>
      </c>
      <c r="G363" s="29" t="e">
        <f>ROUND((3600*F363/SUMIF($E$2:$E$521,E363,$F$2:$F$521))/VLOOKUP(A363,Operations!$A$3:$F$132,6,FALSE),0)</f>
        <v>#DIV/0!</v>
      </c>
      <c r="H363" s="28" t="e">
        <f t="shared" si="5"/>
        <v>#DIV/0!</v>
      </c>
    </row>
    <row r="364" spans="1:8" x14ac:dyDescent="0.3">
      <c r="A364" s="8" t="s">
        <v>110</v>
      </c>
      <c r="B364" s="8">
        <f>VLOOKUP(A364,Operations!$A$3:$B$132,2,TRUE)</f>
        <v>7</v>
      </c>
      <c r="C364" s="8">
        <f>VLOOKUP(A364,Operations!$A$3:$C$132,3,0)</f>
        <v>0</v>
      </c>
      <c r="D364" s="2" t="s">
        <v>151</v>
      </c>
      <c r="E364" s="2">
        <f>IFERROR(INDEX(Operations!$H$3:$K$132,MATCH(A364,Operations!$A$3:$A$132,0),MATCH(Link!D364,Operations!$H$2:$K$2,0)),"")</f>
        <v>0</v>
      </c>
      <c r="F364" t="b">
        <f>IF(E364&lt;&gt;0,IFERROR(VLOOKUP(A364,Operations!$A$3:$F$132,6,FALSE)*INDEX(Operations!$L$3:$O$132,MATCH(Link!A364,Operations!$A$3:$A$132,0),MATCH(Link!D364,Operations!$L$2:$O$2,0)),0))</f>
        <v>0</v>
      </c>
      <c r="G364" s="29" t="e">
        <f>ROUND((3600*F364/SUMIF($E$2:$E$521,E364,$F$2:$F$521))/VLOOKUP(A364,Operations!$A$3:$F$132,6,FALSE),0)</f>
        <v>#DIV/0!</v>
      </c>
      <c r="H364" s="28" t="e">
        <f t="shared" si="5"/>
        <v>#DIV/0!</v>
      </c>
    </row>
    <row r="365" spans="1:8" x14ac:dyDescent="0.3">
      <c r="A365" s="8" t="s">
        <v>111</v>
      </c>
      <c r="B365" s="8">
        <f>VLOOKUP(A365,Operations!$A$3:$B$132,2,TRUE)</f>
        <v>7</v>
      </c>
      <c r="C365" s="8">
        <f>VLOOKUP(A365,Operations!$A$3:$C$132,3,0)</f>
        <v>0</v>
      </c>
      <c r="D365" s="2" t="s">
        <v>151</v>
      </c>
      <c r="E365" s="2">
        <f>IFERROR(INDEX(Operations!$H$3:$K$132,MATCH(A365,Operations!$A$3:$A$132,0),MATCH(Link!D365,Operations!$H$2:$K$2,0)),"")</f>
        <v>0</v>
      </c>
      <c r="F365" t="b">
        <f>IF(E365&lt;&gt;0,IFERROR(VLOOKUP(A365,Operations!$A$3:$F$132,6,FALSE)*INDEX(Operations!$L$3:$O$132,MATCH(Link!A365,Operations!$A$3:$A$132,0),MATCH(Link!D365,Operations!$L$2:$O$2,0)),0))</f>
        <v>0</v>
      </c>
      <c r="G365" s="29" t="e">
        <f>ROUND((3600*F365/SUMIF($E$2:$E$521,E365,$F$2:$F$521))/VLOOKUP(A365,Operations!$A$3:$F$132,6,FALSE),0)</f>
        <v>#DIV/0!</v>
      </c>
      <c r="H365" s="28" t="e">
        <f t="shared" si="5"/>
        <v>#DIV/0!</v>
      </c>
    </row>
    <row r="366" spans="1:8" x14ac:dyDescent="0.3">
      <c r="A366" s="8" t="s">
        <v>112</v>
      </c>
      <c r="B366" s="8">
        <f>VLOOKUP(A366,Operations!$A$3:$B$132,2,TRUE)</f>
        <v>7</v>
      </c>
      <c r="C366" s="8">
        <f>VLOOKUP(A366,Operations!$A$3:$C$132,3,0)</f>
        <v>0</v>
      </c>
      <c r="D366" s="2" t="s">
        <v>151</v>
      </c>
      <c r="E366" s="2">
        <f>IFERROR(INDEX(Operations!$H$3:$K$132,MATCH(A366,Operations!$A$3:$A$132,0),MATCH(Link!D366,Operations!$H$2:$K$2,0)),"")</f>
        <v>0</v>
      </c>
      <c r="F366" t="b">
        <f>IF(E366&lt;&gt;0,IFERROR(VLOOKUP(A366,Operations!$A$3:$F$132,6,FALSE)*INDEX(Operations!$L$3:$O$132,MATCH(Link!A366,Operations!$A$3:$A$132,0),MATCH(Link!D366,Operations!$L$2:$O$2,0)),0))</f>
        <v>0</v>
      </c>
      <c r="G366" s="29" t="e">
        <f>ROUND((3600*F366/SUMIF($E$2:$E$521,E366,$F$2:$F$521))/VLOOKUP(A366,Operations!$A$3:$F$132,6,FALSE),0)</f>
        <v>#DIV/0!</v>
      </c>
      <c r="H366" s="28" t="e">
        <f t="shared" si="5"/>
        <v>#DIV/0!</v>
      </c>
    </row>
    <row r="367" spans="1:8" x14ac:dyDescent="0.3">
      <c r="A367" s="8" t="s">
        <v>113</v>
      </c>
      <c r="B367" s="8">
        <f>VLOOKUP(A367,Operations!$A$3:$B$132,2,TRUE)</f>
        <v>7</v>
      </c>
      <c r="C367" s="8">
        <f>VLOOKUP(A367,Operations!$A$3:$C$132,3,0)</f>
        <v>0</v>
      </c>
      <c r="D367" s="2" t="s">
        <v>151</v>
      </c>
      <c r="E367" s="2">
        <f>IFERROR(INDEX(Operations!$H$3:$K$132,MATCH(A367,Operations!$A$3:$A$132,0),MATCH(Link!D367,Operations!$H$2:$K$2,0)),"")</f>
        <v>0</v>
      </c>
      <c r="F367" t="b">
        <f>IF(E367&lt;&gt;0,IFERROR(VLOOKUP(A367,Operations!$A$3:$F$132,6,FALSE)*INDEX(Operations!$L$3:$O$132,MATCH(Link!A367,Operations!$A$3:$A$132,0),MATCH(Link!D367,Operations!$L$2:$O$2,0)),0))</f>
        <v>0</v>
      </c>
      <c r="G367" s="29" t="e">
        <f>ROUND((3600*F367/SUMIF($E$2:$E$521,E367,$F$2:$F$521))/VLOOKUP(A367,Operations!$A$3:$F$132,6,FALSE),0)</f>
        <v>#DIV/0!</v>
      </c>
      <c r="H367" s="28" t="e">
        <f t="shared" si="5"/>
        <v>#DIV/0!</v>
      </c>
    </row>
    <row r="368" spans="1:8" x14ac:dyDescent="0.3">
      <c r="A368" s="8" t="s">
        <v>114</v>
      </c>
      <c r="B368" s="8">
        <f>VLOOKUP(A368,Operations!$A$3:$B$132,2,TRUE)</f>
        <v>7</v>
      </c>
      <c r="C368" s="8">
        <f>VLOOKUP(A368,Operations!$A$3:$C$132,3,0)</f>
        <v>0</v>
      </c>
      <c r="D368" s="2" t="s">
        <v>151</v>
      </c>
      <c r="E368" s="2">
        <f>IFERROR(INDEX(Operations!$H$3:$K$132,MATCH(A368,Operations!$A$3:$A$132,0),MATCH(Link!D368,Operations!$H$2:$K$2,0)),"")</f>
        <v>0</v>
      </c>
      <c r="F368" t="b">
        <f>IF(E368&lt;&gt;0,IFERROR(VLOOKUP(A368,Operations!$A$3:$F$132,6,FALSE)*INDEX(Operations!$L$3:$O$132,MATCH(Link!A368,Operations!$A$3:$A$132,0),MATCH(Link!D368,Operations!$L$2:$O$2,0)),0))</f>
        <v>0</v>
      </c>
      <c r="G368" s="29" t="e">
        <f>ROUND((3600*F368/SUMIF($E$2:$E$521,E368,$F$2:$F$521))/VLOOKUP(A368,Operations!$A$3:$F$132,6,FALSE),0)</f>
        <v>#DIV/0!</v>
      </c>
      <c r="H368" s="28" t="e">
        <f t="shared" si="5"/>
        <v>#DIV/0!</v>
      </c>
    </row>
    <row r="369" spans="1:8" x14ac:dyDescent="0.3">
      <c r="A369" s="8" t="s">
        <v>115</v>
      </c>
      <c r="B369" s="8">
        <f>VLOOKUP(A369,Operations!$A$3:$B$132,2,TRUE)</f>
        <v>7</v>
      </c>
      <c r="C369" s="8">
        <f>VLOOKUP(A369,Operations!$A$3:$C$132,3,0)</f>
        <v>0</v>
      </c>
      <c r="D369" s="2" t="s">
        <v>151</v>
      </c>
      <c r="E369" s="2">
        <f>IFERROR(INDEX(Operations!$H$3:$K$132,MATCH(A369,Operations!$A$3:$A$132,0),MATCH(Link!D369,Operations!$H$2:$K$2,0)),"")</f>
        <v>0</v>
      </c>
      <c r="F369" t="b">
        <f>IF(E369&lt;&gt;0,IFERROR(VLOOKUP(A369,Operations!$A$3:$F$132,6,FALSE)*INDEX(Operations!$L$3:$O$132,MATCH(Link!A369,Operations!$A$3:$A$132,0),MATCH(Link!D369,Operations!$L$2:$O$2,0)),0))</f>
        <v>0</v>
      </c>
      <c r="G369" s="29" t="e">
        <f>ROUND((3600*F369/SUMIF($E$2:$E$521,E369,$F$2:$F$521))/VLOOKUP(A369,Operations!$A$3:$F$132,6,FALSE),0)</f>
        <v>#DIV/0!</v>
      </c>
      <c r="H369" s="28" t="e">
        <f t="shared" si="5"/>
        <v>#DIV/0!</v>
      </c>
    </row>
    <row r="370" spans="1:8" x14ac:dyDescent="0.3">
      <c r="A370" s="8" t="s">
        <v>116</v>
      </c>
      <c r="B370" s="8">
        <f>VLOOKUP(A370,Operations!$A$3:$B$132,2,TRUE)</f>
        <v>7</v>
      </c>
      <c r="C370" s="8">
        <f>VLOOKUP(A370,Operations!$A$3:$C$132,3,0)</f>
        <v>0</v>
      </c>
      <c r="D370" s="2" t="s">
        <v>151</v>
      </c>
      <c r="E370" s="2">
        <f>IFERROR(INDEX(Operations!$H$3:$K$132,MATCH(A370,Operations!$A$3:$A$132,0),MATCH(Link!D370,Operations!$H$2:$K$2,0)),"")</f>
        <v>0</v>
      </c>
      <c r="F370" t="b">
        <f>IF(E370&lt;&gt;0,IFERROR(VLOOKUP(A370,Operations!$A$3:$F$132,6,FALSE)*INDEX(Operations!$L$3:$O$132,MATCH(Link!A370,Operations!$A$3:$A$132,0),MATCH(Link!D370,Operations!$L$2:$O$2,0)),0))</f>
        <v>0</v>
      </c>
      <c r="G370" s="29" t="e">
        <f>ROUND((3600*F370/SUMIF($E$2:$E$521,E370,$F$2:$F$521))/VLOOKUP(A370,Operations!$A$3:$F$132,6,FALSE),0)</f>
        <v>#DIV/0!</v>
      </c>
      <c r="H370" s="28" t="e">
        <f t="shared" si="5"/>
        <v>#DIV/0!</v>
      </c>
    </row>
    <row r="371" spans="1:8" x14ac:dyDescent="0.3">
      <c r="A371" s="8" t="s">
        <v>117</v>
      </c>
      <c r="B371" s="8">
        <f>VLOOKUP(A371,Operations!$A$3:$B$132,2,TRUE)</f>
        <v>6</v>
      </c>
      <c r="C371" s="8">
        <f>VLOOKUP(A371,Operations!$A$3:$C$132,3,0)</f>
        <v>0</v>
      </c>
      <c r="D371" s="2" t="s">
        <v>151</v>
      </c>
      <c r="E371" s="2">
        <f>IFERROR(INDEX(Operations!$H$3:$K$132,MATCH(A371,Operations!$A$3:$A$132,0),MATCH(Link!D371,Operations!$H$2:$K$2,0)),"")</f>
        <v>0</v>
      </c>
      <c r="F371" t="b">
        <f>IF(E371&lt;&gt;0,IFERROR(VLOOKUP(A371,Operations!$A$3:$F$132,6,FALSE)*INDEX(Operations!$L$3:$O$132,MATCH(Link!A371,Operations!$A$3:$A$132,0),MATCH(Link!D371,Operations!$L$2:$O$2,0)),0))</f>
        <v>0</v>
      </c>
      <c r="G371" s="29" t="e">
        <f>ROUND((3600*F371/SUMIF($E$2:$E$521,E371,$F$2:$F$521))/VLOOKUP(A371,Operations!$A$3:$F$132,6,FALSE),0)</f>
        <v>#DIV/0!</v>
      </c>
      <c r="H371" s="28" t="e">
        <f t="shared" si="5"/>
        <v>#DIV/0!</v>
      </c>
    </row>
    <row r="372" spans="1:8" x14ac:dyDescent="0.3">
      <c r="A372" s="8" t="s">
        <v>118</v>
      </c>
      <c r="B372" s="8">
        <f>VLOOKUP(A372,Operations!$A$3:$B$132,2,TRUE)</f>
        <v>6</v>
      </c>
      <c r="C372" s="8">
        <f>VLOOKUP(A372,Operations!$A$3:$C$132,3,0)</f>
        <v>0</v>
      </c>
      <c r="D372" s="2" t="s">
        <v>151</v>
      </c>
      <c r="E372" s="2">
        <f>IFERROR(INDEX(Operations!$H$3:$K$132,MATCH(A372,Operations!$A$3:$A$132,0),MATCH(Link!D372,Operations!$H$2:$K$2,0)),"")</f>
        <v>0</v>
      </c>
      <c r="F372" t="b">
        <f>IF(E372&lt;&gt;0,IFERROR(VLOOKUP(A372,Operations!$A$3:$F$132,6,FALSE)*INDEX(Operations!$L$3:$O$132,MATCH(Link!A372,Operations!$A$3:$A$132,0),MATCH(Link!D372,Operations!$L$2:$O$2,0)),0))</f>
        <v>0</v>
      </c>
      <c r="G372" s="29" t="e">
        <f>ROUND((3600*F372/SUMIF($E$2:$E$521,E372,$F$2:$F$521))/VLOOKUP(A372,Operations!$A$3:$F$132,6,FALSE),0)</f>
        <v>#DIV/0!</v>
      </c>
      <c r="H372" s="28" t="e">
        <f t="shared" si="5"/>
        <v>#DIV/0!</v>
      </c>
    </row>
    <row r="373" spans="1:8" x14ac:dyDescent="0.3">
      <c r="A373" s="8" t="s">
        <v>119</v>
      </c>
      <c r="B373" s="8">
        <f>VLOOKUP(A373,Operations!$A$3:$B$132,2,TRUE)</f>
        <v>6</v>
      </c>
      <c r="C373" s="8">
        <f>VLOOKUP(A373,Operations!$A$3:$C$132,3,0)</f>
        <v>0</v>
      </c>
      <c r="D373" s="2" t="s">
        <v>151</v>
      </c>
      <c r="E373" s="2">
        <f>IFERROR(INDEX(Operations!$H$3:$K$132,MATCH(A373,Operations!$A$3:$A$132,0),MATCH(Link!D373,Operations!$H$2:$K$2,0)),"")</f>
        <v>0</v>
      </c>
      <c r="F373" t="b">
        <f>IF(E373&lt;&gt;0,IFERROR(VLOOKUP(A373,Operations!$A$3:$F$132,6,FALSE)*INDEX(Operations!$L$3:$O$132,MATCH(Link!A373,Operations!$A$3:$A$132,0),MATCH(Link!D373,Operations!$L$2:$O$2,0)),0))</f>
        <v>0</v>
      </c>
      <c r="G373" s="29" t="e">
        <f>ROUND((3600*F373/SUMIF($E$2:$E$521,E373,$F$2:$F$521))/VLOOKUP(A373,Operations!$A$3:$F$132,6,FALSE),0)</f>
        <v>#DIV/0!</v>
      </c>
      <c r="H373" s="28" t="e">
        <f t="shared" si="5"/>
        <v>#DIV/0!</v>
      </c>
    </row>
    <row r="374" spans="1:8" x14ac:dyDescent="0.3">
      <c r="A374" s="8" t="s">
        <v>120</v>
      </c>
      <c r="B374" s="8">
        <f>VLOOKUP(A374,Operations!$A$3:$B$132,2,TRUE)</f>
        <v>6</v>
      </c>
      <c r="C374" s="8">
        <f>VLOOKUP(A374,Operations!$A$3:$C$132,3,0)</f>
        <v>0</v>
      </c>
      <c r="D374" s="2" t="s">
        <v>151</v>
      </c>
      <c r="E374" s="2">
        <f>IFERROR(INDEX(Operations!$H$3:$K$132,MATCH(A374,Operations!$A$3:$A$132,0),MATCH(Link!D374,Operations!$H$2:$K$2,0)),"")</f>
        <v>0</v>
      </c>
      <c r="F374" t="b">
        <f>IF(E374&lt;&gt;0,IFERROR(VLOOKUP(A374,Operations!$A$3:$F$132,6,FALSE)*INDEX(Operations!$L$3:$O$132,MATCH(Link!A374,Operations!$A$3:$A$132,0),MATCH(Link!D374,Operations!$L$2:$O$2,0)),0))</f>
        <v>0</v>
      </c>
      <c r="G374" s="29" t="e">
        <f>ROUND((3600*F374/SUMIF($E$2:$E$521,E374,$F$2:$F$521))/VLOOKUP(A374,Operations!$A$3:$F$132,6,FALSE),0)</f>
        <v>#DIV/0!</v>
      </c>
      <c r="H374" s="28" t="e">
        <f t="shared" si="5"/>
        <v>#DIV/0!</v>
      </c>
    </row>
    <row r="375" spans="1:8" x14ac:dyDescent="0.3">
      <c r="A375" s="8" t="s">
        <v>121</v>
      </c>
      <c r="B375" s="8">
        <f>VLOOKUP(A375,Operations!$A$3:$B$132,2,TRUE)</f>
        <v>6</v>
      </c>
      <c r="C375" s="8">
        <f>VLOOKUP(A375,Operations!$A$3:$C$132,3,0)</f>
        <v>0</v>
      </c>
      <c r="D375" s="2" t="s">
        <v>151</v>
      </c>
      <c r="E375" s="2">
        <f>IFERROR(INDEX(Operations!$H$3:$K$132,MATCH(A375,Operations!$A$3:$A$132,0),MATCH(Link!D375,Operations!$H$2:$K$2,0)),"")</f>
        <v>0</v>
      </c>
      <c r="F375" t="b">
        <f>IF(E375&lt;&gt;0,IFERROR(VLOOKUP(A375,Operations!$A$3:$F$132,6,FALSE)*INDEX(Operations!$L$3:$O$132,MATCH(Link!A375,Operations!$A$3:$A$132,0),MATCH(Link!D375,Operations!$L$2:$O$2,0)),0))</f>
        <v>0</v>
      </c>
      <c r="G375" s="29" t="e">
        <f>ROUND((3600*F375/SUMIF($E$2:$E$521,E375,$F$2:$F$521))/VLOOKUP(A375,Operations!$A$3:$F$132,6,FALSE),0)</f>
        <v>#DIV/0!</v>
      </c>
      <c r="H375" s="28" t="e">
        <f t="shared" si="5"/>
        <v>#DIV/0!</v>
      </c>
    </row>
    <row r="376" spans="1:8" x14ac:dyDescent="0.3">
      <c r="A376" s="8" t="s">
        <v>122</v>
      </c>
      <c r="B376" s="8">
        <f>VLOOKUP(A376,Operations!$A$3:$B$132,2,TRUE)</f>
        <v>6</v>
      </c>
      <c r="C376" s="8">
        <f>VLOOKUP(A376,Operations!$A$3:$C$132,3,0)</f>
        <v>0</v>
      </c>
      <c r="D376" s="2" t="s">
        <v>151</v>
      </c>
      <c r="E376" s="2">
        <f>IFERROR(INDEX(Operations!$H$3:$K$132,MATCH(A376,Operations!$A$3:$A$132,0),MATCH(Link!D376,Operations!$H$2:$K$2,0)),"")</f>
        <v>0</v>
      </c>
      <c r="F376" t="b">
        <f>IF(E376&lt;&gt;0,IFERROR(VLOOKUP(A376,Operations!$A$3:$F$132,6,FALSE)*INDEX(Operations!$L$3:$O$132,MATCH(Link!A376,Operations!$A$3:$A$132,0),MATCH(Link!D376,Operations!$L$2:$O$2,0)),0))</f>
        <v>0</v>
      </c>
      <c r="G376" s="29" t="e">
        <f>ROUND((3600*F376/SUMIF($E$2:$E$521,E376,$F$2:$F$521))/VLOOKUP(A376,Operations!$A$3:$F$132,6,FALSE),0)</f>
        <v>#DIV/0!</v>
      </c>
      <c r="H376" s="28" t="e">
        <f t="shared" si="5"/>
        <v>#DIV/0!</v>
      </c>
    </row>
    <row r="377" spans="1:8" x14ac:dyDescent="0.3">
      <c r="A377" s="8" t="s">
        <v>123</v>
      </c>
      <c r="B377" s="8">
        <f>VLOOKUP(A377,Operations!$A$3:$B$132,2,TRUE)</f>
        <v>6</v>
      </c>
      <c r="C377" s="8">
        <f>VLOOKUP(A377,Operations!$A$3:$C$132,3,0)</f>
        <v>0</v>
      </c>
      <c r="D377" s="2" t="s">
        <v>151</v>
      </c>
      <c r="E377" s="2">
        <f>IFERROR(INDEX(Operations!$H$3:$K$132,MATCH(A377,Operations!$A$3:$A$132,0),MATCH(Link!D377,Operations!$H$2:$K$2,0)),"")</f>
        <v>0</v>
      </c>
      <c r="F377" t="b">
        <f>IF(E377&lt;&gt;0,IFERROR(VLOOKUP(A377,Operations!$A$3:$F$132,6,FALSE)*INDEX(Operations!$L$3:$O$132,MATCH(Link!A377,Operations!$A$3:$A$132,0),MATCH(Link!D377,Operations!$L$2:$O$2,0)),0))</f>
        <v>0</v>
      </c>
      <c r="G377" s="29" t="e">
        <f>ROUND((3600*F377/SUMIF($E$2:$E$521,E377,$F$2:$F$521))/VLOOKUP(A377,Operations!$A$3:$F$132,6,FALSE),0)</f>
        <v>#DIV/0!</v>
      </c>
      <c r="H377" s="28" t="e">
        <f t="shared" si="5"/>
        <v>#DIV/0!</v>
      </c>
    </row>
    <row r="378" spans="1:8" x14ac:dyDescent="0.3">
      <c r="A378" s="8" t="s">
        <v>124</v>
      </c>
      <c r="B378" s="8">
        <f>VLOOKUP(A378,Operations!$A$3:$B$132,2,TRUE)</f>
        <v>6</v>
      </c>
      <c r="C378" s="8">
        <f>VLOOKUP(A378,Operations!$A$3:$C$132,3,0)</f>
        <v>0</v>
      </c>
      <c r="D378" s="2" t="s">
        <v>151</v>
      </c>
      <c r="E378" s="2">
        <f>IFERROR(INDEX(Operations!$H$3:$K$132,MATCH(A378,Operations!$A$3:$A$132,0),MATCH(Link!D378,Operations!$H$2:$K$2,0)),"")</f>
        <v>0</v>
      </c>
      <c r="F378" t="b">
        <f>IF(E378&lt;&gt;0,IFERROR(VLOOKUP(A378,Operations!$A$3:$F$132,6,FALSE)*INDEX(Operations!$L$3:$O$132,MATCH(Link!A378,Operations!$A$3:$A$132,0),MATCH(Link!D378,Operations!$L$2:$O$2,0)),0))</f>
        <v>0</v>
      </c>
      <c r="G378" s="29" t="e">
        <f>ROUND((3600*F378/SUMIF($E$2:$E$521,E378,$F$2:$F$521))/VLOOKUP(A378,Operations!$A$3:$F$132,6,FALSE),0)</f>
        <v>#DIV/0!</v>
      </c>
      <c r="H378" s="28" t="e">
        <f t="shared" si="5"/>
        <v>#DIV/0!</v>
      </c>
    </row>
    <row r="379" spans="1:8" x14ac:dyDescent="0.3">
      <c r="A379" s="8" t="s">
        <v>125</v>
      </c>
      <c r="B379" s="8">
        <f>VLOOKUP(A379,Operations!$A$3:$B$132,2,TRUE)</f>
        <v>6</v>
      </c>
      <c r="C379" s="8">
        <f>VLOOKUP(A379,Operations!$A$3:$C$132,3,0)</f>
        <v>0</v>
      </c>
      <c r="D379" s="2" t="s">
        <v>151</v>
      </c>
      <c r="E379" s="2">
        <f>IFERROR(INDEX(Operations!$H$3:$K$132,MATCH(A379,Operations!$A$3:$A$132,0),MATCH(Link!D379,Operations!$H$2:$K$2,0)),"")</f>
        <v>0</v>
      </c>
      <c r="F379" t="b">
        <f>IF(E379&lt;&gt;0,IFERROR(VLOOKUP(A379,Operations!$A$3:$F$132,6,FALSE)*INDEX(Operations!$L$3:$O$132,MATCH(Link!A379,Operations!$A$3:$A$132,0),MATCH(Link!D379,Operations!$L$2:$O$2,0)),0))</f>
        <v>0</v>
      </c>
      <c r="G379" s="29" t="e">
        <f>ROUND((3600*F379/SUMIF($E$2:$E$521,E379,$F$2:$F$521))/VLOOKUP(A379,Operations!$A$3:$F$132,6,FALSE),0)</f>
        <v>#DIV/0!</v>
      </c>
      <c r="H379" s="28" t="e">
        <f t="shared" si="5"/>
        <v>#DIV/0!</v>
      </c>
    </row>
    <row r="380" spans="1:8" x14ac:dyDescent="0.3">
      <c r="A380" s="8" t="s">
        <v>126</v>
      </c>
      <c r="B380" s="8">
        <f>VLOOKUP(A380,Operations!$A$3:$B$132,2,TRUE)</f>
        <v>6</v>
      </c>
      <c r="C380" s="8">
        <f>VLOOKUP(A380,Operations!$A$3:$C$132,3,0)</f>
        <v>0</v>
      </c>
      <c r="D380" s="2" t="s">
        <v>151</v>
      </c>
      <c r="E380" s="2">
        <f>IFERROR(INDEX(Operations!$H$3:$K$132,MATCH(A380,Operations!$A$3:$A$132,0),MATCH(Link!D380,Operations!$H$2:$K$2,0)),"")</f>
        <v>0</v>
      </c>
      <c r="F380" t="b">
        <f>IF(E380&lt;&gt;0,IFERROR(VLOOKUP(A380,Operations!$A$3:$F$132,6,FALSE)*INDEX(Operations!$L$3:$O$132,MATCH(Link!A380,Operations!$A$3:$A$132,0),MATCH(Link!D380,Operations!$L$2:$O$2,0)),0))</f>
        <v>0</v>
      </c>
      <c r="G380" s="29" t="e">
        <f>ROUND((3600*F380/SUMIF($E$2:$E$521,E380,$F$2:$F$521))/VLOOKUP(A380,Operations!$A$3:$F$132,6,FALSE),0)</f>
        <v>#DIV/0!</v>
      </c>
      <c r="H380" s="28" t="e">
        <f t="shared" si="5"/>
        <v>#DIV/0!</v>
      </c>
    </row>
    <row r="381" spans="1:8" x14ac:dyDescent="0.3">
      <c r="A381" s="8" t="s">
        <v>127</v>
      </c>
      <c r="B381" s="8">
        <f>VLOOKUP(A381,Operations!$A$3:$B$132,2,TRUE)</f>
        <v>5</v>
      </c>
      <c r="C381" s="8">
        <f>VLOOKUP(A381,Operations!$A$3:$C$132,3,0)</f>
        <v>0</v>
      </c>
      <c r="D381" s="2" t="s">
        <v>151</v>
      </c>
      <c r="E381" s="2">
        <f>IFERROR(INDEX(Operations!$H$3:$K$132,MATCH(A381,Operations!$A$3:$A$132,0),MATCH(Link!D381,Operations!$H$2:$K$2,0)),"")</f>
        <v>0</v>
      </c>
      <c r="F381" t="b">
        <f>IF(E381&lt;&gt;0,IFERROR(VLOOKUP(A381,Operations!$A$3:$F$132,6,FALSE)*INDEX(Operations!$L$3:$O$132,MATCH(Link!A381,Operations!$A$3:$A$132,0),MATCH(Link!D381,Operations!$L$2:$O$2,0)),0))</f>
        <v>0</v>
      </c>
      <c r="G381" s="29" t="e">
        <f>ROUND((3600*F381/SUMIF($E$2:$E$521,E381,$F$2:$F$521))/VLOOKUP(A381,Operations!$A$3:$F$132,6,FALSE),0)</f>
        <v>#DIV/0!</v>
      </c>
      <c r="H381" s="28" t="e">
        <f t="shared" si="5"/>
        <v>#DIV/0!</v>
      </c>
    </row>
    <row r="382" spans="1:8" x14ac:dyDescent="0.3">
      <c r="A382" s="8" t="s">
        <v>128</v>
      </c>
      <c r="B382" s="8">
        <f>VLOOKUP(A382,Operations!$A$3:$B$132,2,TRUE)</f>
        <v>5</v>
      </c>
      <c r="C382" s="8">
        <f>VLOOKUP(A382,Operations!$A$3:$C$132,3,0)</f>
        <v>0</v>
      </c>
      <c r="D382" s="2" t="s">
        <v>151</v>
      </c>
      <c r="E382" s="2">
        <f>IFERROR(INDEX(Operations!$H$3:$K$132,MATCH(A382,Operations!$A$3:$A$132,0),MATCH(Link!D382,Operations!$H$2:$K$2,0)),"")</f>
        <v>0</v>
      </c>
      <c r="F382" t="b">
        <f>IF(E382&lt;&gt;0,IFERROR(VLOOKUP(A382,Operations!$A$3:$F$132,6,FALSE)*INDEX(Operations!$L$3:$O$132,MATCH(Link!A382,Operations!$A$3:$A$132,0),MATCH(Link!D382,Operations!$L$2:$O$2,0)),0))</f>
        <v>0</v>
      </c>
      <c r="G382" s="29" t="e">
        <f>ROUND((3600*F382/SUMIF($E$2:$E$521,E382,$F$2:$F$521))/VLOOKUP(A382,Operations!$A$3:$F$132,6,FALSE),0)</f>
        <v>#DIV/0!</v>
      </c>
      <c r="H382" s="28" t="e">
        <f t="shared" si="5"/>
        <v>#DIV/0!</v>
      </c>
    </row>
    <row r="383" spans="1:8" x14ac:dyDescent="0.3">
      <c r="A383" s="8" t="s">
        <v>129</v>
      </c>
      <c r="B383" s="8">
        <f>VLOOKUP(A383,Operations!$A$3:$B$132,2,TRUE)</f>
        <v>5</v>
      </c>
      <c r="C383" s="8">
        <f>VLOOKUP(A383,Operations!$A$3:$C$132,3,0)</f>
        <v>0</v>
      </c>
      <c r="D383" s="2" t="s">
        <v>151</v>
      </c>
      <c r="E383" s="2">
        <f>IFERROR(INDEX(Operations!$H$3:$K$132,MATCH(A383,Operations!$A$3:$A$132,0),MATCH(Link!D383,Operations!$H$2:$K$2,0)),"")</f>
        <v>0</v>
      </c>
      <c r="F383" t="b">
        <f>IF(E383&lt;&gt;0,IFERROR(VLOOKUP(A383,Operations!$A$3:$F$132,6,FALSE)*INDEX(Operations!$L$3:$O$132,MATCH(Link!A383,Operations!$A$3:$A$132,0),MATCH(Link!D383,Operations!$L$2:$O$2,0)),0))</f>
        <v>0</v>
      </c>
      <c r="G383" s="29" t="e">
        <f>ROUND((3600*F383/SUMIF($E$2:$E$521,E383,$F$2:$F$521))/VLOOKUP(A383,Operations!$A$3:$F$132,6,FALSE),0)</f>
        <v>#DIV/0!</v>
      </c>
      <c r="H383" s="28" t="e">
        <f t="shared" si="5"/>
        <v>#DIV/0!</v>
      </c>
    </row>
    <row r="384" spans="1:8" x14ac:dyDescent="0.3">
      <c r="A384" s="8" t="s">
        <v>130</v>
      </c>
      <c r="B384" s="8">
        <f>VLOOKUP(A384,Operations!$A$3:$B$132,2,TRUE)</f>
        <v>5</v>
      </c>
      <c r="C384" s="8">
        <f>VLOOKUP(A384,Operations!$A$3:$C$132,3,0)</f>
        <v>0</v>
      </c>
      <c r="D384" s="2" t="s">
        <v>151</v>
      </c>
      <c r="E384" s="2">
        <f>IFERROR(INDEX(Operations!$H$3:$K$132,MATCH(A384,Operations!$A$3:$A$132,0),MATCH(Link!D384,Operations!$H$2:$K$2,0)),"")</f>
        <v>0</v>
      </c>
      <c r="F384" t="b">
        <f>IF(E384&lt;&gt;0,IFERROR(VLOOKUP(A384,Operations!$A$3:$F$132,6,FALSE)*INDEX(Operations!$L$3:$O$132,MATCH(Link!A384,Operations!$A$3:$A$132,0),MATCH(Link!D384,Operations!$L$2:$O$2,0)),0))</f>
        <v>0</v>
      </c>
      <c r="G384" s="29" t="e">
        <f>ROUND((3600*F384/SUMIF($E$2:$E$521,E384,$F$2:$F$521))/VLOOKUP(A384,Operations!$A$3:$F$132,6,FALSE),0)</f>
        <v>#DIV/0!</v>
      </c>
      <c r="H384" s="28" t="e">
        <f t="shared" si="5"/>
        <v>#DIV/0!</v>
      </c>
    </row>
    <row r="385" spans="1:8" x14ac:dyDescent="0.3">
      <c r="A385" s="8" t="s">
        <v>131</v>
      </c>
      <c r="B385" s="8">
        <f>VLOOKUP(A385,Operations!$A$3:$B$132,2,TRUE)</f>
        <v>5</v>
      </c>
      <c r="C385" s="8">
        <f>VLOOKUP(A385,Operations!$A$3:$C$132,3,0)</f>
        <v>0</v>
      </c>
      <c r="D385" s="2" t="s">
        <v>151</v>
      </c>
      <c r="E385" s="2">
        <f>IFERROR(INDEX(Operations!$H$3:$K$132,MATCH(A385,Operations!$A$3:$A$132,0),MATCH(Link!D385,Operations!$H$2:$K$2,0)),"")</f>
        <v>0</v>
      </c>
      <c r="F385" t="b">
        <f>IF(E385&lt;&gt;0,IFERROR(VLOOKUP(A385,Operations!$A$3:$F$132,6,FALSE)*INDEX(Operations!$L$3:$O$132,MATCH(Link!A385,Operations!$A$3:$A$132,0),MATCH(Link!D385,Operations!$L$2:$O$2,0)),0))</f>
        <v>0</v>
      </c>
      <c r="G385" s="29" t="e">
        <f>ROUND((3600*F385/SUMIF($E$2:$E$521,E385,$F$2:$F$521))/VLOOKUP(A385,Operations!$A$3:$F$132,6,FALSE),0)</f>
        <v>#DIV/0!</v>
      </c>
      <c r="H385" s="28" t="e">
        <f t="shared" si="5"/>
        <v>#DIV/0!</v>
      </c>
    </row>
    <row r="386" spans="1:8" x14ac:dyDescent="0.3">
      <c r="A386" s="8" t="s">
        <v>132</v>
      </c>
      <c r="B386" s="8">
        <f>VLOOKUP(A386,Operations!$A$3:$B$132,2,TRUE)</f>
        <v>5</v>
      </c>
      <c r="C386" s="8">
        <f>VLOOKUP(A386,Operations!$A$3:$C$132,3,0)</f>
        <v>0</v>
      </c>
      <c r="D386" s="2" t="s">
        <v>151</v>
      </c>
      <c r="E386" s="2">
        <f>IFERROR(INDEX(Operations!$H$3:$K$132,MATCH(A386,Operations!$A$3:$A$132,0),MATCH(Link!D386,Operations!$H$2:$K$2,0)),"")</f>
        <v>0</v>
      </c>
      <c r="F386" t="b">
        <f>IF(E386&lt;&gt;0,IFERROR(VLOOKUP(A386,Operations!$A$3:$F$132,6,FALSE)*INDEX(Operations!$L$3:$O$132,MATCH(Link!A386,Operations!$A$3:$A$132,0),MATCH(Link!D386,Operations!$L$2:$O$2,0)),0))</f>
        <v>0</v>
      </c>
      <c r="G386" s="29" t="e">
        <f>ROUND((3600*F386/SUMIF($E$2:$E$521,E386,$F$2:$F$521))/VLOOKUP(A386,Operations!$A$3:$F$132,6,FALSE),0)</f>
        <v>#DIV/0!</v>
      </c>
      <c r="H386" s="28" t="e">
        <f t="shared" si="5"/>
        <v>#DIV/0!</v>
      </c>
    </row>
    <row r="387" spans="1:8" x14ac:dyDescent="0.3">
      <c r="A387" s="8" t="s">
        <v>133</v>
      </c>
      <c r="B387" s="8">
        <f>VLOOKUP(A387,Operations!$A$3:$B$132,2,TRUE)</f>
        <v>5</v>
      </c>
      <c r="C387" s="8">
        <f>VLOOKUP(A387,Operations!$A$3:$C$132,3,0)</f>
        <v>0</v>
      </c>
      <c r="D387" s="2" t="s">
        <v>151</v>
      </c>
      <c r="E387" s="2">
        <f>IFERROR(INDEX(Operations!$H$3:$K$132,MATCH(A387,Operations!$A$3:$A$132,0),MATCH(Link!D387,Operations!$H$2:$K$2,0)),"")</f>
        <v>0</v>
      </c>
      <c r="F387" t="b">
        <f>IF(E387&lt;&gt;0,IFERROR(VLOOKUP(A387,Operations!$A$3:$F$132,6,FALSE)*INDEX(Operations!$L$3:$O$132,MATCH(Link!A387,Operations!$A$3:$A$132,0),MATCH(Link!D387,Operations!$L$2:$O$2,0)),0))</f>
        <v>0</v>
      </c>
      <c r="G387" s="29" t="e">
        <f>ROUND((3600*F387/SUMIF($E$2:$E$521,E387,$F$2:$F$521))/VLOOKUP(A387,Operations!$A$3:$F$132,6,FALSE),0)</f>
        <v>#DIV/0!</v>
      </c>
      <c r="H387" s="28" t="e">
        <f t="shared" ref="H387:H450" si="6">C387&amp;":"&amp;" "&amp;G387</f>
        <v>#DIV/0!</v>
      </c>
    </row>
    <row r="388" spans="1:8" x14ac:dyDescent="0.3">
      <c r="A388" s="8" t="s">
        <v>134</v>
      </c>
      <c r="B388" s="8">
        <f>VLOOKUP(A388,Operations!$A$3:$B$132,2,TRUE)</f>
        <v>5</v>
      </c>
      <c r="C388" s="8">
        <f>VLOOKUP(A388,Operations!$A$3:$C$132,3,0)</f>
        <v>0</v>
      </c>
      <c r="D388" s="2" t="s">
        <v>151</v>
      </c>
      <c r="E388" s="2">
        <f>IFERROR(INDEX(Operations!$H$3:$K$132,MATCH(A388,Operations!$A$3:$A$132,0),MATCH(Link!D388,Operations!$H$2:$K$2,0)),"")</f>
        <v>0</v>
      </c>
      <c r="F388" t="b">
        <f>IF(E388&lt;&gt;0,IFERROR(VLOOKUP(A388,Operations!$A$3:$F$132,6,FALSE)*INDEX(Operations!$L$3:$O$132,MATCH(Link!A388,Operations!$A$3:$A$132,0),MATCH(Link!D388,Operations!$L$2:$O$2,0)),0))</f>
        <v>0</v>
      </c>
      <c r="G388" s="29" t="e">
        <f>ROUND((3600*F388/SUMIF($E$2:$E$521,E388,$F$2:$F$521))/VLOOKUP(A388,Operations!$A$3:$F$132,6,FALSE),0)</f>
        <v>#DIV/0!</v>
      </c>
      <c r="H388" s="28" t="e">
        <f t="shared" si="6"/>
        <v>#DIV/0!</v>
      </c>
    </row>
    <row r="389" spans="1:8" x14ac:dyDescent="0.3">
      <c r="A389" s="8" t="s">
        <v>135</v>
      </c>
      <c r="B389" s="8">
        <f>VLOOKUP(A389,Operations!$A$3:$B$132,2,TRUE)</f>
        <v>5</v>
      </c>
      <c r="C389" s="8">
        <f>VLOOKUP(A389,Operations!$A$3:$C$132,3,0)</f>
        <v>0</v>
      </c>
      <c r="D389" s="2" t="s">
        <v>151</v>
      </c>
      <c r="E389" s="2">
        <f>IFERROR(INDEX(Operations!$H$3:$K$132,MATCH(A389,Operations!$A$3:$A$132,0),MATCH(Link!D389,Operations!$H$2:$K$2,0)),"")</f>
        <v>0</v>
      </c>
      <c r="F389" t="b">
        <f>IF(E389&lt;&gt;0,IFERROR(VLOOKUP(A389,Operations!$A$3:$F$132,6,FALSE)*INDEX(Operations!$L$3:$O$132,MATCH(Link!A389,Operations!$A$3:$A$132,0),MATCH(Link!D389,Operations!$L$2:$O$2,0)),0))</f>
        <v>0</v>
      </c>
      <c r="G389" s="29" t="e">
        <f>ROUND((3600*F389/SUMIF($E$2:$E$521,E389,$F$2:$F$521))/VLOOKUP(A389,Operations!$A$3:$F$132,6,FALSE),0)</f>
        <v>#DIV/0!</v>
      </c>
      <c r="H389" s="28" t="e">
        <f t="shared" si="6"/>
        <v>#DIV/0!</v>
      </c>
    </row>
    <row r="390" spans="1:8" x14ac:dyDescent="0.3">
      <c r="A390" s="8" t="s">
        <v>136</v>
      </c>
      <c r="B390" s="8">
        <f>VLOOKUP(A390,Operations!$A$3:$B$132,2,TRUE)</f>
        <v>5</v>
      </c>
      <c r="C390" s="8">
        <f>VLOOKUP(A390,Operations!$A$3:$C$132,3,0)</f>
        <v>0</v>
      </c>
      <c r="D390" s="2" t="s">
        <v>151</v>
      </c>
      <c r="E390" s="2">
        <f>IFERROR(INDEX(Operations!$H$3:$K$132,MATCH(A390,Operations!$A$3:$A$132,0),MATCH(Link!D390,Operations!$H$2:$K$2,0)),"")</f>
        <v>0</v>
      </c>
      <c r="F390" t="b">
        <f>IF(E390&lt;&gt;0,IFERROR(VLOOKUP(A390,Operations!$A$3:$F$132,6,FALSE)*INDEX(Operations!$L$3:$O$132,MATCH(Link!A390,Operations!$A$3:$A$132,0),MATCH(Link!D390,Operations!$L$2:$O$2,0)),0))</f>
        <v>0</v>
      </c>
      <c r="G390" s="29" t="e">
        <f>ROUND((3600*F390/SUMIF($E$2:$E$521,E390,$F$2:$F$521))/VLOOKUP(A390,Operations!$A$3:$F$132,6,FALSE),0)</f>
        <v>#DIV/0!</v>
      </c>
      <c r="H390" s="28" t="e">
        <f t="shared" si="6"/>
        <v>#DIV/0!</v>
      </c>
    </row>
    <row r="391" spans="1:8" x14ac:dyDescent="0.3">
      <c r="A391" s="8" t="s">
        <v>137</v>
      </c>
      <c r="B391" s="8">
        <f>VLOOKUP(A391,Operations!$A$3:$B$132,2,TRUE)</f>
        <v>4</v>
      </c>
      <c r="C391" s="8">
        <f>VLOOKUP(A391,Operations!$A$3:$C$132,3,0)</f>
        <v>0</v>
      </c>
      <c r="D391" s="2" t="s">
        <v>151</v>
      </c>
      <c r="E391" s="2">
        <f>IFERROR(INDEX(Operations!$H$3:$K$132,MATCH(A391,Operations!$A$3:$A$132,0),MATCH(Link!D391,Operations!$H$2:$K$2,0)),"")</f>
        <v>0</v>
      </c>
      <c r="F391" t="b">
        <f>IF(E391&lt;&gt;0,IFERROR(VLOOKUP(A391,Operations!$A$3:$F$132,6,FALSE)*INDEX(Operations!$L$3:$O$132,MATCH(Link!A391,Operations!$A$3:$A$132,0),MATCH(Link!D391,Operations!$L$2:$O$2,0)),0))</f>
        <v>0</v>
      </c>
      <c r="G391" s="29" t="e">
        <f>ROUND((3600*F391/SUMIF($E$2:$E$521,E391,$F$2:$F$521))/VLOOKUP(A391,Operations!$A$3:$F$132,6,FALSE),0)</f>
        <v>#DIV/0!</v>
      </c>
      <c r="H391" s="28" t="e">
        <f t="shared" si="6"/>
        <v>#DIV/0!</v>
      </c>
    </row>
    <row r="392" spans="1:8" x14ac:dyDescent="0.3">
      <c r="A392" s="2" t="s">
        <v>9</v>
      </c>
      <c r="B392" s="8">
        <f>VLOOKUP(A392,Operations!$A$3:$B$132,2,TRUE)</f>
        <v>0</v>
      </c>
      <c r="C392" s="8" t="str">
        <f>VLOOKUP(A392,Operations!$A$3:$C$132,3,0)</f>
        <v>Treo móc</v>
      </c>
      <c r="D392" s="2" t="s">
        <v>152</v>
      </c>
      <c r="E392" s="2">
        <f>IFERROR(INDEX(Operations!$H$3:$K$132,MATCH(A392,Operations!$A$3:$A$132,0),MATCH(Link!D392,Operations!$H$2:$K$2,0)),"")</f>
        <v>0</v>
      </c>
      <c r="F392" t="b">
        <f>IF(E392&lt;&gt;0,IFERROR(VLOOKUP(A392,Operations!$A$3:$F$132,6,FALSE)*INDEX(Operations!$L$3:$O$132,MATCH(Link!A392,Operations!$A$3:$A$132,0),MATCH(Link!D392,Operations!$L$2:$O$2,0)),0))</f>
        <v>0</v>
      </c>
      <c r="G392" s="29" t="e">
        <f>ROUND((3600*F392/SUMIF($E$2:$E$521,E392,$F$2:$F$521))/VLOOKUP(A392,Operations!$A$3:$F$132,6,FALSE),0)</f>
        <v>#DIV/0!</v>
      </c>
      <c r="H392" s="28" t="e">
        <f t="shared" si="6"/>
        <v>#DIV/0!</v>
      </c>
    </row>
    <row r="393" spans="1:8" x14ac:dyDescent="0.3">
      <c r="A393" s="2" t="s">
        <v>8</v>
      </c>
      <c r="B393" s="8">
        <f>VLOOKUP(A393,Operations!$A$3:$B$132,2,TRUE)</f>
        <v>15</v>
      </c>
      <c r="C393" s="8" t="str">
        <f>VLOOKUP(A393,Operations!$A$3:$C$132,3,0)</f>
        <v>Khóa lai áo tròn</v>
      </c>
      <c r="D393" s="2" t="s">
        <v>152</v>
      </c>
      <c r="E393" s="2">
        <f>IFERROR(INDEX(Operations!$H$3:$K$132,MATCH(A393,Operations!$A$3:$A$132,0),MATCH(Link!D393,Operations!$H$2:$K$2,0)),"")</f>
        <v>0</v>
      </c>
      <c r="F393" t="b">
        <f>IF(E393&lt;&gt;0,IFERROR(VLOOKUP(A393,Operations!$A$3:$F$132,6,FALSE)*INDEX(Operations!$L$3:$O$132,MATCH(Link!A393,Operations!$A$3:$A$132,0),MATCH(Link!D393,Operations!$L$2:$O$2,0)),0))</f>
        <v>0</v>
      </c>
      <c r="G393" s="29" t="e">
        <f>ROUND((3600*F393/SUMIF($E$2:$E$521,E393,$F$2:$F$521))/VLOOKUP(A393,Operations!$A$3:$F$132,6,FALSE),0)</f>
        <v>#DIV/0!</v>
      </c>
      <c r="H393" s="28" t="e">
        <f t="shared" si="6"/>
        <v>#DIV/0!</v>
      </c>
    </row>
    <row r="394" spans="1:8" x14ac:dyDescent="0.3">
      <c r="A394" s="2" t="s">
        <v>10</v>
      </c>
      <c r="B394" s="8">
        <f>VLOOKUP(A394,Operations!$A$3:$B$132,2,TRUE)</f>
        <v>14</v>
      </c>
      <c r="C394" s="8" t="str">
        <f>VLOOKUP(A394,Operations!$A$3:$C$132,3,0)</f>
        <v>May lai áo tròn</v>
      </c>
      <c r="D394" s="2" t="s">
        <v>152</v>
      </c>
      <c r="E394" s="2">
        <f>IFERROR(INDEX(Operations!$H$3:$K$132,MATCH(A394,Operations!$A$3:$A$132,0),MATCH(Link!D394,Operations!$H$2:$K$2,0)),"")</f>
        <v>0</v>
      </c>
      <c r="F394" t="b">
        <f>IF(E394&lt;&gt;0,IFERROR(VLOOKUP(A394,Operations!$A$3:$F$132,6,FALSE)*INDEX(Operations!$L$3:$O$132,MATCH(Link!A394,Operations!$A$3:$A$132,0),MATCH(Link!D394,Operations!$L$2:$O$2,0)),0))</f>
        <v>0</v>
      </c>
      <c r="G394" s="29" t="e">
        <f>ROUND((3600*F394/SUMIF($E$2:$E$521,E394,$F$2:$F$521))/VLOOKUP(A394,Operations!$A$3:$F$132,6,FALSE),0)</f>
        <v>#DIV/0!</v>
      </c>
      <c r="H394" s="28" t="e">
        <f t="shared" si="6"/>
        <v>#DIV/0!</v>
      </c>
    </row>
    <row r="395" spans="1:8" x14ac:dyDescent="0.3">
      <c r="A395" s="2" t="s">
        <v>11</v>
      </c>
      <c r="B395" s="8">
        <f>VLOOKUP(A395,Operations!$A$3:$B$132,2,TRUE)</f>
        <v>13</v>
      </c>
      <c r="C395" s="8" t="str">
        <f>VLOOKUP(A395,Operations!$A$3:$C$132,3,0)</f>
        <v>Khóa lai tay dài</v>
      </c>
      <c r="D395" s="2" t="s">
        <v>152</v>
      </c>
      <c r="E395" s="2">
        <f>IFERROR(INDEX(Operations!$H$3:$K$132,MATCH(A395,Operations!$A$3:$A$132,0),MATCH(Link!D395,Operations!$H$2:$K$2,0)),"")</f>
        <v>0</v>
      </c>
      <c r="F395" t="b">
        <f>IF(E395&lt;&gt;0,IFERROR(VLOOKUP(A395,Operations!$A$3:$F$132,6,FALSE)*INDEX(Operations!$L$3:$O$132,MATCH(Link!A395,Operations!$A$3:$A$132,0),MATCH(Link!D395,Operations!$L$2:$O$2,0)),0))</f>
        <v>0</v>
      </c>
      <c r="G395" s="29" t="e">
        <f>ROUND((3600*F395/SUMIF($E$2:$E$521,E395,$F$2:$F$521))/VLOOKUP(A395,Operations!$A$3:$F$132,6,FALSE),0)</f>
        <v>#DIV/0!</v>
      </c>
      <c r="H395" s="28" t="e">
        <f t="shared" si="6"/>
        <v>#DIV/0!</v>
      </c>
    </row>
    <row r="396" spans="1:8" x14ac:dyDescent="0.3">
      <c r="A396" s="2" t="s">
        <v>12</v>
      </c>
      <c r="B396" s="8">
        <f>VLOOKUP(A396,Operations!$A$3:$B$132,2,TRUE)</f>
        <v>12</v>
      </c>
      <c r="C396" s="8" t="str">
        <f>VLOOKUP(A396,Operations!$A$3:$C$132,3,0)</f>
        <v xml:space="preserve">VS sườn tay dài + sườn áo  + gắn nhãn </v>
      </c>
      <c r="D396" s="2" t="s">
        <v>152</v>
      </c>
      <c r="E396" s="2">
        <f>IFERROR(INDEX(Operations!$H$3:$K$132,MATCH(A396,Operations!$A$3:$A$132,0),MATCH(Link!D396,Operations!$H$2:$K$2,0)),"")</f>
        <v>0</v>
      </c>
      <c r="F396" t="b">
        <f>IF(E396&lt;&gt;0,IFERROR(VLOOKUP(A396,Operations!$A$3:$F$132,6,FALSE)*INDEX(Operations!$L$3:$O$132,MATCH(Link!A396,Operations!$A$3:$A$132,0),MATCH(Link!D396,Operations!$L$2:$O$2,0)),0))</f>
        <v>0</v>
      </c>
      <c r="G396" s="29" t="e">
        <f>ROUND((3600*F396/SUMIF($E$2:$E$521,E396,$F$2:$F$521))/VLOOKUP(A396,Operations!$A$3:$F$132,6,FALSE),0)</f>
        <v>#DIV/0!</v>
      </c>
      <c r="H396" s="28" t="e">
        <f t="shared" si="6"/>
        <v>#DIV/0!</v>
      </c>
    </row>
    <row r="397" spans="1:8" x14ac:dyDescent="0.3">
      <c r="A397" s="2" t="s">
        <v>13</v>
      </c>
      <c r="B397" s="8">
        <f>VLOOKUP(A397,Operations!$A$3:$B$132,2,TRUE)</f>
        <v>11</v>
      </c>
      <c r="C397" s="8" t="str">
        <f>VLOOKUP(A397,Operations!$A$3:$C$132,3,0)</f>
        <v>Lược nhãn sườn</v>
      </c>
      <c r="D397" s="2" t="s">
        <v>152</v>
      </c>
      <c r="E397" s="2">
        <f>IFERROR(INDEX(Operations!$H$3:$K$132,MATCH(A397,Operations!$A$3:$A$132,0),MATCH(Link!D397,Operations!$H$2:$K$2,0)),"")</f>
        <v>0</v>
      </c>
      <c r="F397" t="b">
        <f>IF(E397&lt;&gt;0,IFERROR(VLOOKUP(A397,Operations!$A$3:$F$132,6,FALSE)*INDEX(Operations!$L$3:$O$132,MATCH(Link!A397,Operations!$A$3:$A$132,0),MATCH(Link!D397,Operations!$L$2:$O$2,0)),0))</f>
        <v>0</v>
      </c>
      <c r="G397" s="29" t="e">
        <f>ROUND((3600*F397/SUMIF($E$2:$E$521,E397,$F$2:$F$521))/VLOOKUP(A397,Operations!$A$3:$F$132,6,FALSE),0)</f>
        <v>#DIV/0!</v>
      </c>
      <c r="H397" s="28" t="e">
        <f t="shared" si="6"/>
        <v>#DIV/0!</v>
      </c>
    </row>
    <row r="398" spans="1:8" x14ac:dyDescent="0.3">
      <c r="A398" s="2" t="s">
        <v>14</v>
      </c>
      <c r="B398" s="8">
        <f>VLOOKUP(A398,Operations!$A$3:$B$132,2,TRUE)</f>
        <v>10</v>
      </c>
      <c r="C398" s="8" t="str">
        <f>VLOOKUP(A398,Operations!$A$3:$C$132,3,0)</f>
        <v>VS tra tay thẳng</v>
      </c>
      <c r="D398" s="2" t="s">
        <v>152</v>
      </c>
      <c r="E398" s="2">
        <f>IFERROR(INDEX(Operations!$H$3:$K$132,MATCH(A398,Operations!$A$3:$A$132,0),MATCH(Link!D398,Operations!$H$2:$K$2,0)),"")</f>
        <v>0</v>
      </c>
      <c r="F398" t="b">
        <f>IF(E398&lt;&gt;0,IFERROR(VLOOKUP(A398,Operations!$A$3:$F$132,6,FALSE)*INDEX(Operations!$L$3:$O$132,MATCH(Link!A398,Operations!$A$3:$A$132,0),MATCH(Link!D398,Operations!$L$2:$O$2,0)),0))</f>
        <v>0</v>
      </c>
      <c r="G398" s="29" t="e">
        <f>ROUND((3600*F398/SUMIF($E$2:$E$521,E398,$F$2:$F$521))/VLOOKUP(A398,Operations!$A$3:$F$132,6,FALSE),0)</f>
        <v>#DIV/0!</v>
      </c>
      <c r="H398" s="28" t="e">
        <f t="shared" si="6"/>
        <v>#DIV/0!</v>
      </c>
    </row>
    <row r="399" spans="1:8" x14ac:dyDescent="0.3">
      <c r="A399" s="2" t="s">
        <v>15</v>
      </c>
      <c r="B399" s="8">
        <f>VLOOKUP(A399,Operations!$A$3:$B$132,2,TRUE)</f>
        <v>9</v>
      </c>
      <c r="C399" s="8" t="str">
        <f>VLOOKUP(A399,Operations!$A$3:$C$132,3,0)</f>
        <v>Mí viền cổ - canh nhãn cổ</v>
      </c>
      <c r="D399" s="2" t="s">
        <v>152</v>
      </c>
      <c r="E399" s="2">
        <f>IFERROR(INDEX(Operations!$H$3:$K$132,MATCH(A399,Operations!$A$3:$A$132,0),MATCH(Link!D399,Operations!$H$2:$K$2,0)),"")</f>
        <v>0</v>
      </c>
      <c r="F399" t="b">
        <f>IF(E399&lt;&gt;0,IFERROR(VLOOKUP(A399,Operations!$A$3:$F$132,6,FALSE)*INDEX(Operations!$L$3:$O$132,MATCH(Link!A399,Operations!$A$3:$A$132,0),MATCH(Link!D399,Operations!$L$2:$O$2,0)),0))</f>
        <v>0</v>
      </c>
      <c r="G399" s="29" t="e">
        <f>ROUND((3600*F399/SUMIF($E$2:$E$521,E399,$F$2:$F$521))/VLOOKUP(A399,Operations!$A$3:$F$132,6,FALSE),0)</f>
        <v>#DIV/0!</v>
      </c>
      <c r="H399" s="28" t="e">
        <f t="shared" si="6"/>
        <v>#DIV/0!</v>
      </c>
    </row>
    <row r="400" spans="1:8" x14ac:dyDescent="0.3">
      <c r="A400" s="2" t="s">
        <v>16</v>
      </c>
      <c r="B400" s="8">
        <f>VLOOKUP(A400,Operations!$A$3:$B$132,2,TRUE)</f>
        <v>8</v>
      </c>
      <c r="C400" s="8" t="str">
        <f>VLOOKUP(A400,Operations!$A$3:$C$132,3,0)</f>
        <v xml:space="preserve">LD + lược 1 nhãn vào giữa cổ </v>
      </c>
      <c r="D400" s="2" t="s">
        <v>152</v>
      </c>
      <c r="E400" s="2">
        <f>IFERROR(INDEX(Operations!$H$3:$K$132,MATCH(A400,Operations!$A$3:$A$132,0),MATCH(Link!D400,Operations!$H$2:$K$2,0)),"")</f>
        <v>0</v>
      </c>
      <c r="F400" t="b">
        <f>IF(E400&lt;&gt;0,IFERROR(VLOOKUP(A400,Operations!$A$3:$F$132,6,FALSE)*INDEX(Operations!$L$3:$O$132,MATCH(Link!A400,Operations!$A$3:$A$132,0),MATCH(Link!D400,Operations!$L$2:$O$2,0)),0))</f>
        <v>0</v>
      </c>
      <c r="G400" s="29" t="e">
        <f>ROUND((3600*F400/SUMIF($E$2:$E$521,E400,$F$2:$F$521))/VLOOKUP(A400,Operations!$A$3:$F$132,6,FALSE),0)</f>
        <v>#DIV/0!</v>
      </c>
      <c r="H400" s="28" t="e">
        <f t="shared" si="6"/>
        <v>#DIV/0!</v>
      </c>
    </row>
    <row r="401" spans="1:8" x14ac:dyDescent="0.3">
      <c r="A401" s="2" t="s">
        <v>17</v>
      </c>
      <c r="B401" s="8">
        <f>VLOOKUP(A401,Operations!$A$3:$B$132,2,TRUE)</f>
        <v>7</v>
      </c>
      <c r="C401" s="8" t="str">
        <f>VLOOKUP(A401,Operations!$A$3:$C$132,3,0)</f>
        <v>Bẻ + gói chèo 2 đầu viền</v>
      </c>
      <c r="D401" s="2" t="s">
        <v>152</v>
      </c>
      <c r="E401" s="2">
        <f>IFERROR(INDEX(Operations!$H$3:$K$132,MATCH(A401,Operations!$A$3:$A$132,0),MATCH(Link!D401,Operations!$H$2:$K$2,0)),"")</f>
        <v>0</v>
      </c>
      <c r="F401" t="b">
        <f>IF(E401&lt;&gt;0,IFERROR(VLOOKUP(A401,Operations!$A$3:$F$132,6,FALSE)*INDEX(Operations!$L$3:$O$132,MATCH(Link!A401,Operations!$A$3:$A$132,0),MATCH(Link!D401,Operations!$L$2:$O$2,0)),0))</f>
        <v>0</v>
      </c>
      <c r="G401" s="29" t="e">
        <f>ROUND((3600*F401/SUMIF($E$2:$E$521,E401,$F$2:$F$521))/VLOOKUP(A401,Operations!$A$3:$F$132,6,FALSE),0)</f>
        <v>#DIV/0!</v>
      </c>
      <c r="H401" s="28" t="e">
        <f t="shared" si="6"/>
        <v>#DIV/0!</v>
      </c>
    </row>
    <row r="402" spans="1:8" x14ac:dyDescent="0.3">
      <c r="A402" s="2" t="s">
        <v>18</v>
      </c>
      <c r="B402" s="8">
        <f>VLOOKUP(A402,Operations!$A$3:$B$132,2,TRUE)</f>
        <v>6</v>
      </c>
      <c r="C402" s="8" t="str">
        <f>VLOOKUP(A402,Operations!$A$3:$C$132,3,0)</f>
        <v>Tra viền cổ sau</v>
      </c>
      <c r="D402" s="2" t="s">
        <v>152</v>
      </c>
      <c r="E402" s="2">
        <f>IFERROR(INDEX(Operations!$H$3:$K$132,MATCH(A402,Operations!$A$3:$A$132,0),MATCH(Link!D402,Operations!$H$2:$K$2,0)),"")</f>
        <v>0</v>
      </c>
      <c r="F402" t="b">
        <f>IF(E402&lt;&gt;0,IFERROR(VLOOKUP(A402,Operations!$A$3:$F$132,6,FALSE)*INDEX(Operations!$L$3:$O$132,MATCH(Link!A402,Operations!$A$3:$A$132,0),MATCH(Link!D402,Operations!$L$2:$O$2,0)),0))</f>
        <v>0</v>
      </c>
      <c r="G402" s="29" t="e">
        <f>ROUND((3600*F402/SUMIF($E$2:$E$521,E402,$F$2:$F$521))/VLOOKUP(A402,Operations!$A$3:$F$132,6,FALSE),0)</f>
        <v>#DIV/0!</v>
      </c>
      <c r="H402" s="28" t="e">
        <f t="shared" si="6"/>
        <v>#DIV/0!</v>
      </c>
    </row>
    <row r="403" spans="1:8" x14ac:dyDescent="0.3">
      <c r="A403" s="2" t="s">
        <v>19</v>
      </c>
      <c r="B403" s="8">
        <f>VLOOKUP(A403,Operations!$A$3:$B$132,2,TRUE)</f>
        <v>5</v>
      </c>
      <c r="C403" s="8" t="str">
        <f>VLOOKUP(A403,Operations!$A$3:$C$132,3,0)</f>
        <v>VS tra bo cổ</v>
      </c>
      <c r="D403" s="2" t="s">
        <v>152</v>
      </c>
      <c r="E403" s="2">
        <f>IFERROR(INDEX(Operations!$H$3:$K$132,MATCH(A403,Operations!$A$3:$A$132,0),MATCH(Link!D403,Operations!$H$2:$K$2,0)),"")</f>
        <v>0</v>
      </c>
      <c r="F403" t="b">
        <f>IF(E403&lt;&gt;0,IFERROR(VLOOKUP(A403,Operations!$A$3:$F$132,6,FALSE)*INDEX(Operations!$L$3:$O$132,MATCH(Link!A403,Operations!$A$3:$A$132,0),MATCH(Link!D403,Operations!$L$2:$O$2,0)),0))</f>
        <v>0</v>
      </c>
      <c r="G403" s="29" t="e">
        <f>ROUND((3600*F403/SUMIF($E$2:$E$521,E403,$F$2:$F$521))/VLOOKUP(A403,Operations!$A$3:$F$132,6,FALSE),0)</f>
        <v>#DIV/0!</v>
      </c>
      <c r="H403" s="28" t="e">
        <f t="shared" si="6"/>
        <v>#DIV/0!</v>
      </c>
    </row>
    <row r="404" spans="1:8" x14ac:dyDescent="0.3">
      <c r="A404" s="2" t="s">
        <v>20</v>
      </c>
      <c r="B404" s="8">
        <f>VLOOKUP(A404,Operations!$A$3:$B$132,2,TRUE)</f>
        <v>4</v>
      </c>
      <c r="C404" s="8" t="str">
        <f>VLOOKUP(A404,Operations!$A$3:$C$132,3,0)</f>
        <v>VS vai</v>
      </c>
      <c r="D404" s="2" t="s">
        <v>152</v>
      </c>
      <c r="E404" s="2">
        <f>IFERROR(INDEX(Operations!$H$3:$K$132,MATCH(A404,Operations!$A$3:$A$132,0),MATCH(Link!D404,Operations!$H$2:$K$2,0)),"")</f>
        <v>0</v>
      </c>
      <c r="F404" t="b">
        <f>IF(E404&lt;&gt;0,IFERROR(VLOOKUP(A404,Operations!$A$3:$F$132,6,FALSE)*INDEX(Operations!$L$3:$O$132,MATCH(Link!A404,Operations!$A$3:$A$132,0),MATCH(Link!D404,Operations!$L$2:$O$2,0)),0))</f>
        <v>0</v>
      </c>
      <c r="G404" s="29" t="e">
        <f>ROUND((3600*F404/SUMIF($E$2:$E$521,E404,$F$2:$F$521))/VLOOKUP(A404,Operations!$A$3:$F$132,6,FALSE),0)</f>
        <v>#DIV/0!</v>
      </c>
      <c r="H404" s="28" t="e">
        <f t="shared" si="6"/>
        <v>#DIV/0!</v>
      </c>
    </row>
    <row r="405" spans="1:8" x14ac:dyDescent="0.3">
      <c r="A405" s="2" t="s">
        <v>21</v>
      </c>
      <c r="B405" s="8">
        <f>VLOOKUP(A405,Operations!$A$3:$B$132,2,TRUE)</f>
        <v>3</v>
      </c>
      <c r="C405" s="8" t="str">
        <f>VLOOKUP(A405,Operations!$A$3:$C$132,3,0)</f>
        <v>May lai tay thẳng</v>
      </c>
      <c r="D405" s="2" t="s">
        <v>152</v>
      </c>
      <c r="E405" s="2">
        <f>IFERROR(INDEX(Operations!$H$3:$K$132,MATCH(A405,Operations!$A$3:$A$132,0),MATCH(Link!D405,Operations!$H$2:$K$2,0)),"")</f>
        <v>0</v>
      </c>
      <c r="F405" t="b">
        <f>IF(E405&lt;&gt;0,IFERROR(VLOOKUP(A405,Operations!$A$3:$F$132,6,FALSE)*INDEX(Operations!$L$3:$O$132,MATCH(Link!A405,Operations!$A$3:$A$132,0),MATCH(Link!D405,Operations!$L$2:$O$2,0)),0))</f>
        <v>0</v>
      </c>
      <c r="G405" s="29" t="e">
        <f>ROUND((3600*F405/SUMIF($E$2:$E$521,E405,$F$2:$F$521))/VLOOKUP(A405,Operations!$A$3:$F$132,6,FALSE),0)</f>
        <v>#DIV/0!</v>
      </c>
      <c r="H405" s="28" t="e">
        <f t="shared" si="6"/>
        <v>#DIV/0!</v>
      </c>
    </row>
    <row r="406" spans="1:8" x14ac:dyDescent="0.3">
      <c r="A406" s="2" t="s">
        <v>22</v>
      </c>
      <c r="B406" s="8">
        <f>VLOOKUP(A406,Operations!$A$3:$B$132,2,TRUE)</f>
        <v>2</v>
      </c>
      <c r="C406" s="8" t="str">
        <f>VLOOKUP(A406,Operations!$A$3:$C$132,3,0)</f>
        <v>Lộn + lược chân bo cổ</v>
      </c>
      <c r="D406" s="2" t="s">
        <v>152</v>
      </c>
      <c r="E406" s="2">
        <f>IFERROR(INDEX(Operations!$H$3:$K$132,MATCH(A406,Operations!$A$3:$A$132,0),MATCH(Link!D406,Operations!$H$2:$K$2,0)),"")</f>
        <v>0</v>
      </c>
      <c r="F406" t="b">
        <f>IF(E406&lt;&gt;0,IFERROR(VLOOKUP(A406,Operations!$A$3:$F$132,6,FALSE)*INDEX(Operations!$L$3:$O$132,MATCH(Link!A406,Operations!$A$3:$A$132,0),MATCH(Link!D406,Operations!$L$2:$O$2,0)),0))</f>
        <v>0</v>
      </c>
      <c r="G406" s="29" t="e">
        <f>ROUND((3600*F406/SUMIF($E$2:$E$521,E406,$F$2:$F$521))/VLOOKUP(A406,Operations!$A$3:$F$132,6,FALSE),0)</f>
        <v>#DIV/0!</v>
      </c>
      <c r="H406" s="28" t="e">
        <f t="shared" si="6"/>
        <v>#DIV/0!</v>
      </c>
    </row>
    <row r="407" spans="1:8" x14ac:dyDescent="0.3">
      <c r="A407" s="2" t="s">
        <v>23</v>
      </c>
      <c r="B407" s="8">
        <f>VLOOKUP(A407,Operations!$A$3:$B$132,2,TRUE)</f>
        <v>1</v>
      </c>
      <c r="C407" s="8" t="str">
        <f>VLOOKUP(A407,Operations!$A$3:$C$132,3,0)</f>
        <v xml:space="preserve">Nối bo cổ RIB </v>
      </c>
      <c r="D407" s="2" t="s">
        <v>152</v>
      </c>
      <c r="E407" s="2">
        <f>IFERROR(INDEX(Operations!$H$3:$K$132,MATCH(A407,Operations!$A$3:$A$132,0),MATCH(Link!D407,Operations!$H$2:$K$2,0)),"")</f>
        <v>0</v>
      </c>
      <c r="F407" t="b">
        <f>IF(E407&lt;&gt;0,IFERROR(VLOOKUP(A407,Operations!$A$3:$F$132,6,FALSE)*INDEX(Operations!$L$3:$O$132,MATCH(Link!A407,Operations!$A$3:$A$132,0),MATCH(Link!D407,Operations!$L$2:$O$2,0)),0))</f>
        <v>0</v>
      </c>
      <c r="G407" s="29" t="e">
        <f>ROUND((3600*F407/SUMIF($E$2:$E$521,E407,$F$2:$F$521))/VLOOKUP(A407,Operations!$A$3:$F$132,6,FALSE),0)</f>
        <v>#DIV/0!</v>
      </c>
      <c r="H407" s="28" t="e">
        <f t="shared" si="6"/>
        <v>#DIV/0!</v>
      </c>
    </row>
    <row r="408" spans="1:8" x14ac:dyDescent="0.3">
      <c r="A408" s="2" t="s">
        <v>24</v>
      </c>
      <c r="B408" s="8">
        <f>VLOOKUP(A408,Operations!$A$3:$B$132,2,TRUE)</f>
        <v>0</v>
      </c>
      <c r="C408" s="8">
        <f>VLOOKUP(A408,Operations!$A$3:$C$132,3,0)</f>
        <v>0</v>
      </c>
      <c r="D408" s="2" t="s">
        <v>152</v>
      </c>
      <c r="E408" s="2">
        <f>IFERROR(INDEX(Operations!$H$3:$K$132,MATCH(A408,Operations!$A$3:$A$132,0),MATCH(Link!D408,Operations!$H$2:$K$2,0)),"")</f>
        <v>0</v>
      </c>
      <c r="F408" t="b">
        <f>IF(E408&lt;&gt;0,IFERROR(VLOOKUP(A408,Operations!$A$3:$F$132,6,FALSE)*INDEX(Operations!$L$3:$O$132,MATCH(Link!A408,Operations!$A$3:$A$132,0),MATCH(Link!D408,Operations!$L$2:$O$2,0)),0))</f>
        <v>0</v>
      </c>
      <c r="G408" s="29" t="e">
        <f>ROUND((3600*F408/SUMIF($E$2:$E$521,E408,$F$2:$F$521))/VLOOKUP(A408,Operations!$A$3:$F$132,6,FALSE),0)</f>
        <v>#DIV/0!</v>
      </c>
      <c r="H408" s="28" t="e">
        <f t="shared" si="6"/>
        <v>#DIV/0!</v>
      </c>
    </row>
    <row r="409" spans="1:8" x14ac:dyDescent="0.3">
      <c r="A409" s="2" t="s">
        <v>25</v>
      </c>
      <c r="B409" s="8">
        <f>VLOOKUP(A409,Operations!$A$3:$B$132,2,TRUE)</f>
        <v>0</v>
      </c>
      <c r="C409" s="8">
        <f>VLOOKUP(A409,Operations!$A$3:$C$132,3,0)</f>
        <v>0</v>
      </c>
      <c r="D409" s="2" t="s">
        <v>152</v>
      </c>
      <c r="E409" s="2">
        <f>IFERROR(INDEX(Operations!$H$3:$K$132,MATCH(A409,Operations!$A$3:$A$132,0),MATCH(Link!D409,Operations!$H$2:$K$2,0)),"")</f>
        <v>0</v>
      </c>
      <c r="F409" t="b">
        <f>IF(E409&lt;&gt;0,IFERROR(VLOOKUP(A409,Operations!$A$3:$F$132,6,FALSE)*INDEX(Operations!$L$3:$O$132,MATCH(Link!A409,Operations!$A$3:$A$132,0),MATCH(Link!D409,Operations!$L$2:$O$2,0)),0))</f>
        <v>0</v>
      </c>
      <c r="G409" s="29" t="e">
        <f>ROUND((3600*F409/SUMIF($E$2:$E$521,E409,$F$2:$F$521))/VLOOKUP(A409,Operations!$A$3:$F$132,6,FALSE),0)</f>
        <v>#DIV/0!</v>
      </c>
      <c r="H409" s="28" t="e">
        <f t="shared" si="6"/>
        <v>#DIV/0!</v>
      </c>
    </row>
    <row r="410" spans="1:8" x14ac:dyDescent="0.3">
      <c r="A410" s="2" t="s">
        <v>26</v>
      </c>
      <c r="B410" s="8">
        <f>VLOOKUP(A410,Operations!$A$3:$B$132,2,TRUE)</f>
        <v>0</v>
      </c>
      <c r="C410" s="8">
        <f>VLOOKUP(A410,Operations!$A$3:$C$132,3,0)</f>
        <v>0</v>
      </c>
      <c r="D410" s="2" t="s">
        <v>152</v>
      </c>
      <c r="E410" s="2">
        <f>IFERROR(INDEX(Operations!$H$3:$K$132,MATCH(A410,Operations!$A$3:$A$132,0),MATCH(Link!D410,Operations!$H$2:$K$2,0)),"")</f>
        <v>0</v>
      </c>
      <c r="F410" t="b">
        <f>IF(E410&lt;&gt;0,IFERROR(VLOOKUP(A410,Operations!$A$3:$F$132,6,FALSE)*INDEX(Operations!$L$3:$O$132,MATCH(Link!A410,Operations!$A$3:$A$132,0),MATCH(Link!D410,Operations!$L$2:$O$2,0)),0))</f>
        <v>0</v>
      </c>
      <c r="G410" s="29" t="e">
        <f>ROUND((3600*F410/SUMIF($E$2:$E$521,E410,$F$2:$F$521))/VLOOKUP(A410,Operations!$A$3:$F$132,6,FALSE),0)</f>
        <v>#DIV/0!</v>
      </c>
      <c r="H410" s="28" t="e">
        <f t="shared" si="6"/>
        <v>#DIV/0!</v>
      </c>
    </row>
    <row r="411" spans="1:8" x14ac:dyDescent="0.3">
      <c r="A411" s="2" t="s">
        <v>27</v>
      </c>
      <c r="B411" s="8">
        <f>VLOOKUP(A411,Operations!$A$3:$B$132,2,TRUE)</f>
        <v>0</v>
      </c>
      <c r="C411" s="8">
        <f>VLOOKUP(A411,Operations!$A$3:$C$132,3,0)</f>
        <v>0</v>
      </c>
      <c r="D411" s="2" t="s">
        <v>152</v>
      </c>
      <c r="E411" s="2">
        <f>IFERROR(INDEX(Operations!$H$3:$K$132,MATCH(A411,Operations!$A$3:$A$132,0),MATCH(Link!D411,Operations!$H$2:$K$2,0)),"")</f>
        <v>0</v>
      </c>
      <c r="F411" t="b">
        <f>IF(E411&lt;&gt;0,IFERROR(VLOOKUP(A411,Operations!$A$3:$F$132,6,FALSE)*INDEX(Operations!$L$3:$O$132,MATCH(Link!A411,Operations!$A$3:$A$132,0),MATCH(Link!D411,Operations!$L$2:$O$2,0)),0))</f>
        <v>0</v>
      </c>
      <c r="G411" s="29" t="e">
        <f>ROUND((3600*F411/SUMIF($E$2:$E$521,E411,$F$2:$F$521))/VLOOKUP(A411,Operations!$A$3:$F$132,6,FALSE),0)</f>
        <v>#DIV/0!</v>
      </c>
      <c r="H411" s="28" t="e">
        <f t="shared" si="6"/>
        <v>#DIV/0!</v>
      </c>
    </row>
    <row r="412" spans="1:8" x14ac:dyDescent="0.3">
      <c r="A412" s="2" t="s">
        <v>28</v>
      </c>
      <c r="B412" s="8">
        <f>VLOOKUP(A412,Operations!$A$3:$B$132,2,TRUE)</f>
        <v>0</v>
      </c>
      <c r="C412" s="8">
        <f>VLOOKUP(A412,Operations!$A$3:$C$132,3,0)</f>
        <v>0</v>
      </c>
      <c r="D412" s="2" t="s">
        <v>152</v>
      </c>
      <c r="E412" s="2">
        <f>IFERROR(INDEX(Operations!$H$3:$K$132,MATCH(A412,Operations!$A$3:$A$132,0),MATCH(Link!D412,Operations!$H$2:$K$2,0)),"")</f>
        <v>0</v>
      </c>
      <c r="F412" t="b">
        <f>IF(E412&lt;&gt;0,IFERROR(VLOOKUP(A412,Operations!$A$3:$F$132,6,FALSE)*INDEX(Operations!$L$3:$O$132,MATCH(Link!A412,Operations!$A$3:$A$132,0),MATCH(Link!D412,Operations!$L$2:$O$2,0)),0))</f>
        <v>0</v>
      </c>
      <c r="G412" s="29" t="e">
        <f>ROUND((3600*F412/SUMIF($E$2:$E$521,E412,$F$2:$F$521))/VLOOKUP(A412,Operations!$A$3:$F$132,6,FALSE),0)</f>
        <v>#DIV/0!</v>
      </c>
      <c r="H412" s="28" t="e">
        <f t="shared" si="6"/>
        <v>#DIV/0!</v>
      </c>
    </row>
    <row r="413" spans="1:8" x14ac:dyDescent="0.3">
      <c r="A413" s="2" t="s">
        <v>29</v>
      </c>
      <c r="B413" s="8">
        <f>VLOOKUP(A413,Operations!$A$3:$B$132,2,TRUE)</f>
        <v>0</v>
      </c>
      <c r="C413" s="8">
        <f>VLOOKUP(A413,Operations!$A$3:$C$132,3,0)</f>
        <v>0</v>
      </c>
      <c r="D413" s="2" t="s">
        <v>152</v>
      </c>
      <c r="E413" s="2">
        <f>IFERROR(INDEX(Operations!$H$3:$K$132,MATCH(A413,Operations!$A$3:$A$132,0),MATCH(Link!D413,Operations!$H$2:$K$2,0)),"")</f>
        <v>0</v>
      </c>
      <c r="F413" t="b">
        <f>IF(E413&lt;&gt;0,IFERROR(VLOOKUP(A413,Operations!$A$3:$F$132,6,FALSE)*INDEX(Operations!$L$3:$O$132,MATCH(Link!A413,Operations!$A$3:$A$132,0),MATCH(Link!D413,Operations!$L$2:$O$2,0)),0))</f>
        <v>0</v>
      </c>
      <c r="G413" s="29" t="e">
        <f>ROUND((3600*F413/SUMIF($E$2:$E$521,E413,$F$2:$F$521))/VLOOKUP(A413,Operations!$A$3:$F$132,6,FALSE),0)</f>
        <v>#DIV/0!</v>
      </c>
      <c r="H413" s="28" t="e">
        <f t="shared" si="6"/>
        <v>#DIV/0!</v>
      </c>
    </row>
    <row r="414" spans="1:8" x14ac:dyDescent="0.3">
      <c r="A414" s="2" t="s">
        <v>30</v>
      </c>
      <c r="B414" s="8">
        <f>VLOOKUP(A414,Operations!$A$3:$B$132,2,TRUE)</f>
        <v>0</v>
      </c>
      <c r="C414" s="8">
        <f>VLOOKUP(A414,Operations!$A$3:$C$132,3,0)</f>
        <v>0</v>
      </c>
      <c r="D414" s="2" t="s">
        <v>152</v>
      </c>
      <c r="E414" s="2">
        <f>IFERROR(INDEX(Operations!$H$3:$K$132,MATCH(A414,Operations!$A$3:$A$132,0),MATCH(Link!D414,Operations!$H$2:$K$2,0)),"")</f>
        <v>0</v>
      </c>
      <c r="F414" t="b">
        <f>IF(E414&lt;&gt;0,IFERROR(VLOOKUP(A414,Operations!$A$3:$F$132,6,FALSE)*INDEX(Operations!$L$3:$O$132,MATCH(Link!A414,Operations!$A$3:$A$132,0),MATCH(Link!D414,Operations!$L$2:$O$2,0)),0))</f>
        <v>0</v>
      </c>
      <c r="G414" s="29" t="e">
        <f>ROUND((3600*F414/SUMIF($E$2:$E$521,E414,$F$2:$F$521))/VLOOKUP(A414,Operations!$A$3:$F$132,6,FALSE),0)</f>
        <v>#DIV/0!</v>
      </c>
      <c r="H414" s="28" t="e">
        <f t="shared" si="6"/>
        <v>#DIV/0!</v>
      </c>
    </row>
    <row r="415" spans="1:8" x14ac:dyDescent="0.3">
      <c r="A415" s="2" t="s">
        <v>31</v>
      </c>
      <c r="B415" s="8">
        <f>VLOOKUP(A415,Operations!$A$3:$B$132,2,TRUE)</f>
        <v>0</v>
      </c>
      <c r="C415" s="8">
        <f>VLOOKUP(A415,Operations!$A$3:$C$132,3,0)</f>
        <v>0</v>
      </c>
      <c r="D415" s="2" t="s">
        <v>152</v>
      </c>
      <c r="E415" s="2">
        <f>IFERROR(INDEX(Operations!$H$3:$K$132,MATCH(A415,Operations!$A$3:$A$132,0),MATCH(Link!D415,Operations!$H$2:$K$2,0)),"")</f>
        <v>0</v>
      </c>
      <c r="F415" t="b">
        <f>IF(E415&lt;&gt;0,IFERROR(VLOOKUP(A415,Operations!$A$3:$F$132,6,FALSE)*INDEX(Operations!$L$3:$O$132,MATCH(Link!A415,Operations!$A$3:$A$132,0),MATCH(Link!D415,Operations!$L$2:$O$2,0)),0))</f>
        <v>0</v>
      </c>
      <c r="G415" s="29" t="e">
        <f>ROUND((3600*F415/SUMIF($E$2:$E$521,E415,$F$2:$F$521))/VLOOKUP(A415,Operations!$A$3:$F$132,6,FALSE),0)</f>
        <v>#DIV/0!</v>
      </c>
      <c r="H415" s="28" t="e">
        <f t="shared" si="6"/>
        <v>#DIV/0!</v>
      </c>
    </row>
    <row r="416" spans="1:8" x14ac:dyDescent="0.3">
      <c r="A416" s="2" t="s">
        <v>32</v>
      </c>
      <c r="B416" s="8">
        <f>VLOOKUP(A416,Operations!$A$3:$B$132,2,TRUE)</f>
        <v>0</v>
      </c>
      <c r="C416" s="8">
        <f>VLOOKUP(A416,Operations!$A$3:$C$132,3,0)</f>
        <v>0</v>
      </c>
      <c r="D416" s="2" t="s">
        <v>152</v>
      </c>
      <c r="E416" s="2">
        <f>IFERROR(INDEX(Operations!$H$3:$K$132,MATCH(A416,Operations!$A$3:$A$132,0),MATCH(Link!D416,Operations!$H$2:$K$2,0)),"")</f>
        <v>0</v>
      </c>
      <c r="F416" t="b">
        <f>IF(E416&lt;&gt;0,IFERROR(VLOOKUP(A416,Operations!$A$3:$F$132,6,FALSE)*INDEX(Operations!$L$3:$O$132,MATCH(Link!A416,Operations!$A$3:$A$132,0),MATCH(Link!D416,Operations!$L$2:$O$2,0)),0))</f>
        <v>0</v>
      </c>
      <c r="G416" s="29" t="e">
        <f>ROUND((3600*F416/SUMIF($E$2:$E$521,E416,$F$2:$F$521))/VLOOKUP(A416,Operations!$A$3:$F$132,6,FALSE),0)</f>
        <v>#DIV/0!</v>
      </c>
      <c r="H416" s="28" t="e">
        <f t="shared" si="6"/>
        <v>#DIV/0!</v>
      </c>
    </row>
    <row r="417" spans="1:8" x14ac:dyDescent="0.3">
      <c r="A417" s="2" t="s">
        <v>33</v>
      </c>
      <c r="B417" s="8">
        <f>VLOOKUP(A417,Operations!$A$3:$B$132,2,TRUE)</f>
        <v>0</v>
      </c>
      <c r="C417" s="8">
        <f>VLOOKUP(A417,Operations!$A$3:$C$132,3,0)</f>
        <v>0</v>
      </c>
      <c r="D417" s="2" t="s">
        <v>152</v>
      </c>
      <c r="E417" s="2">
        <f>IFERROR(INDEX(Operations!$H$3:$K$132,MATCH(A417,Operations!$A$3:$A$132,0),MATCH(Link!D417,Operations!$H$2:$K$2,0)),"")</f>
        <v>0</v>
      </c>
      <c r="F417" t="b">
        <f>IF(E417&lt;&gt;0,IFERROR(VLOOKUP(A417,Operations!$A$3:$F$132,6,FALSE)*INDEX(Operations!$L$3:$O$132,MATCH(Link!A417,Operations!$A$3:$A$132,0),MATCH(Link!D417,Operations!$L$2:$O$2,0)),0))</f>
        <v>0</v>
      </c>
      <c r="G417" s="29" t="e">
        <f>ROUND((3600*F417/SUMIF($E$2:$E$521,E417,$F$2:$F$521))/VLOOKUP(A417,Operations!$A$3:$F$132,6,FALSE),0)</f>
        <v>#DIV/0!</v>
      </c>
      <c r="H417" s="28" t="e">
        <f t="shared" si="6"/>
        <v>#DIV/0!</v>
      </c>
    </row>
    <row r="418" spans="1:8" x14ac:dyDescent="0.3">
      <c r="A418" s="2" t="s">
        <v>34</v>
      </c>
      <c r="B418" s="8">
        <f>VLOOKUP(A418,Operations!$A$3:$B$132,2,TRUE)</f>
        <v>0</v>
      </c>
      <c r="C418" s="8">
        <f>VLOOKUP(A418,Operations!$A$3:$C$132,3,0)</f>
        <v>0</v>
      </c>
      <c r="D418" s="2" t="s">
        <v>152</v>
      </c>
      <c r="E418" s="2">
        <f>IFERROR(INDEX(Operations!$H$3:$K$132,MATCH(A418,Operations!$A$3:$A$132,0),MATCH(Link!D418,Operations!$H$2:$K$2,0)),"")</f>
        <v>0</v>
      </c>
      <c r="F418" t="b">
        <f>IF(E418&lt;&gt;0,IFERROR(VLOOKUP(A418,Operations!$A$3:$F$132,6,FALSE)*INDEX(Operations!$L$3:$O$132,MATCH(Link!A418,Operations!$A$3:$A$132,0),MATCH(Link!D418,Operations!$L$2:$O$2,0)),0))</f>
        <v>0</v>
      </c>
      <c r="G418" s="29" t="e">
        <f>ROUND((3600*F418/SUMIF($E$2:$E$521,E418,$F$2:$F$521))/VLOOKUP(A418,Operations!$A$3:$F$132,6,FALSE),0)</f>
        <v>#DIV/0!</v>
      </c>
      <c r="H418" s="28" t="e">
        <f t="shared" si="6"/>
        <v>#DIV/0!</v>
      </c>
    </row>
    <row r="419" spans="1:8" x14ac:dyDescent="0.3">
      <c r="A419" s="2" t="s">
        <v>35</v>
      </c>
      <c r="B419" s="8">
        <f>VLOOKUP(A419,Operations!$A$3:$B$132,2,TRUE)</f>
        <v>0</v>
      </c>
      <c r="C419" s="8">
        <f>VLOOKUP(A419,Operations!$A$3:$C$132,3,0)</f>
        <v>0</v>
      </c>
      <c r="D419" s="2" t="s">
        <v>152</v>
      </c>
      <c r="E419" s="2">
        <f>IFERROR(INDEX(Operations!$H$3:$K$132,MATCH(A419,Operations!$A$3:$A$132,0),MATCH(Link!D419,Operations!$H$2:$K$2,0)),"")</f>
        <v>0</v>
      </c>
      <c r="F419" t="b">
        <f>IF(E419&lt;&gt;0,IFERROR(VLOOKUP(A419,Operations!$A$3:$F$132,6,FALSE)*INDEX(Operations!$L$3:$O$132,MATCH(Link!A419,Operations!$A$3:$A$132,0),MATCH(Link!D419,Operations!$L$2:$O$2,0)),0))</f>
        <v>0</v>
      </c>
      <c r="G419" s="29" t="e">
        <f>ROUND((3600*F419/SUMIF($E$2:$E$521,E419,$F$2:$F$521))/VLOOKUP(A419,Operations!$A$3:$F$132,6,FALSE),0)</f>
        <v>#DIV/0!</v>
      </c>
      <c r="H419" s="28" t="e">
        <f t="shared" si="6"/>
        <v>#DIV/0!</v>
      </c>
    </row>
    <row r="420" spans="1:8" x14ac:dyDescent="0.3">
      <c r="A420" s="2" t="s">
        <v>36</v>
      </c>
      <c r="B420" s="8">
        <f>VLOOKUP(A420,Operations!$A$3:$B$132,2,TRUE)</f>
        <v>0</v>
      </c>
      <c r="C420" s="8">
        <f>VLOOKUP(A420,Operations!$A$3:$C$132,3,0)</f>
        <v>0</v>
      </c>
      <c r="D420" s="2" t="s">
        <v>152</v>
      </c>
      <c r="E420" s="2">
        <f>IFERROR(INDEX(Operations!$H$3:$K$132,MATCH(A420,Operations!$A$3:$A$132,0),MATCH(Link!D420,Operations!$H$2:$K$2,0)),"")</f>
        <v>0</v>
      </c>
      <c r="F420" t="b">
        <f>IF(E420&lt;&gt;0,IFERROR(VLOOKUP(A420,Operations!$A$3:$F$132,6,FALSE)*INDEX(Operations!$L$3:$O$132,MATCH(Link!A420,Operations!$A$3:$A$132,0),MATCH(Link!D420,Operations!$L$2:$O$2,0)),0))</f>
        <v>0</v>
      </c>
      <c r="G420" s="29" t="e">
        <f>ROUND((3600*F420/SUMIF($E$2:$E$521,E420,$F$2:$F$521))/VLOOKUP(A420,Operations!$A$3:$F$132,6,FALSE),0)</f>
        <v>#DIV/0!</v>
      </c>
      <c r="H420" s="28" t="e">
        <f t="shared" si="6"/>
        <v>#DIV/0!</v>
      </c>
    </row>
    <row r="421" spans="1:8" x14ac:dyDescent="0.3">
      <c r="A421" s="2" t="s">
        <v>37</v>
      </c>
      <c r="B421" s="8">
        <f>VLOOKUP(A421,Operations!$A$3:$B$132,2,TRUE)</f>
        <v>0</v>
      </c>
      <c r="C421" s="8">
        <f>VLOOKUP(A421,Operations!$A$3:$C$132,3,0)</f>
        <v>0</v>
      </c>
      <c r="D421" s="2" t="s">
        <v>152</v>
      </c>
      <c r="E421" s="2">
        <f>IFERROR(INDEX(Operations!$H$3:$K$132,MATCH(A421,Operations!$A$3:$A$132,0),MATCH(Link!D421,Operations!$H$2:$K$2,0)),"")</f>
        <v>0</v>
      </c>
      <c r="F421" t="b">
        <f>IF(E421&lt;&gt;0,IFERROR(VLOOKUP(A421,Operations!$A$3:$F$132,6,FALSE)*INDEX(Operations!$L$3:$O$132,MATCH(Link!A421,Operations!$A$3:$A$132,0),MATCH(Link!D421,Operations!$L$2:$O$2,0)),0))</f>
        <v>0</v>
      </c>
      <c r="G421" s="29" t="e">
        <f>ROUND((3600*F421/SUMIF($E$2:$E$521,E421,$F$2:$F$521))/VLOOKUP(A421,Operations!$A$3:$F$132,6,FALSE),0)</f>
        <v>#DIV/0!</v>
      </c>
      <c r="H421" s="28" t="e">
        <f t="shared" si="6"/>
        <v>#DIV/0!</v>
      </c>
    </row>
    <row r="422" spans="1:8" x14ac:dyDescent="0.3">
      <c r="A422" s="2" t="s">
        <v>38</v>
      </c>
      <c r="B422" s="8">
        <f>VLOOKUP(A422,Operations!$A$3:$B$132,2,TRUE)</f>
        <v>0</v>
      </c>
      <c r="C422" s="8">
        <f>VLOOKUP(A422,Operations!$A$3:$C$132,3,0)</f>
        <v>0</v>
      </c>
      <c r="D422" s="2" t="s">
        <v>152</v>
      </c>
      <c r="E422" s="2">
        <f>IFERROR(INDEX(Operations!$H$3:$K$132,MATCH(A422,Operations!$A$3:$A$132,0),MATCH(Link!D422,Operations!$H$2:$K$2,0)),"")</f>
        <v>0</v>
      </c>
      <c r="F422" t="b">
        <f>IF(E422&lt;&gt;0,IFERROR(VLOOKUP(A422,Operations!$A$3:$F$132,6,FALSE)*INDEX(Operations!$L$3:$O$132,MATCH(Link!A422,Operations!$A$3:$A$132,0),MATCH(Link!D422,Operations!$L$2:$O$2,0)),0))</f>
        <v>0</v>
      </c>
      <c r="G422" s="29" t="e">
        <f>ROUND((3600*F422/SUMIF($E$2:$E$521,E422,$F$2:$F$521))/VLOOKUP(A422,Operations!$A$3:$F$132,6,FALSE),0)</f>
        <v>#DIV/0!</v>
      </c>
      <c r="H422" s="28" t="e">
        <f t="shared" si="6"/>
        <v>#DIV/0!</v>
      </c>
    </row>
    <row r="423" spans="1:8" x14ac:dyDescent="0.3">
      <c r="A423" s="2" t="s">
        <v>39</v>
      </c>
      <c r="B423" s="8">
        <f>VLOOKUP(A423,Operations!$A$3:$B$132,2,TRUE)</f>
        <v>0</v>
      </c>
      <c r="C423" s="8">
        <f>VLOOKUP(A423,Operations!$A$3:$C$132,3,0)</f>
        <v>0</v>
      </c>
      <c r="D423" s="2" t="s">
        <v>152</v>
      </c>
      <c r="E423" s="2">
        <f>IFERROR(INDEX(Operations!$H$3:$K$132,MATCH(A423,Operations!$A$3:$A$132,0),MATCH(Link!D423,Operations!$H$2:$K$2,0)),"")</f>
        <v>0</v>
      </c>
      <c r="F423" t="b">
        <f>IF(E423&lt;&gt;0,IFERROR(VLOOKUP(A423,Operations!$A$3:$F$132,6,FALSE)*INDEX(Operations!$L$3:$O$132,MATCH(Link!A423,Operations!$A$3:$A$132,0),MATCH(Link!D423,Operations!$L$2:$O$2,0)),0))</f>
        <v>0</v>
      </c>
      <c r="G423" s="29" t="e">
        <f>ROUND((3600*F423/SUMIF($E$2:$E$521,E423,$F$2:$F$521))/VLOOKUP(A423,Operations!$A$3:$F$132,6,FALSE),0)</f>
        <v>#DIV/0!</v>
      </c>
      <c r="H423" s="28" t="e">
        <f t="shared" si="6"/>
        <v>#DIV/0!</v>
      </c>
    </row>
    <row r="424" spans="1:8" x14ac:dyDescent="0.3">
      <c r="A424" s="2" t="s">
        <v>40</v>
      </c>
      <c r="B424" s="8">
        <f>VLOOKUP(A424,Operations!$A$3:$B$132,2,TRUE)</f>
        <v>0</v>
      </c>
      <c r="C424" s="8">
        <f>VLOOKUP(A424,Operations!$A$3:$C$132,3,0)</f>
        <v>0</v>
      </c>
      <c r="D424" s="2" t="s">
        <v>152</v>
      </c>
      <c r="E424" s="2">
        <f>IFERROR(INDEX(Operations!$H$3:$K$132,MATCH(A424,Operations!$A$3:$A$132,0),MATCH(Link!D424,Operations!$H$2:$K$2,0)),"")</f>
        <v>0</v>
      </c>
      <c r="F424" t="b">
        <f>IF(E424&lt;&gt;0,IFERROR(VLOOKUP(A424,Operations!$A$3:$F$132,6,FALSE)*INDEX(Operations!$L$3:$O$132,MATCH(Link!A424,Operations!$A$3:$A$132,0),MATCH(Link!D424,Operations!$L$2:$O$2,0)),0))</f>
        <v>0</v>
      </c>
      <c r="G424" s="29" t="e">
        <f>ROUND((3600*F424/SUMIF($E$2:$E$521,E424,$F$2:$F$521))/VLOOKUP(A424,Operations!$A$3:$F$132,6,FALSE),0)</f>
        <v>#DIV/0!</v>
      </c>
      <c r="H424" s="28" t="e">
        <f t="shared" si="6"/>
        <v>#DIV/0!</v>
      </c>
    </row>
    <row r="425" spans="1:8" x14ac:dyDescent="0.3">
      <c r="A425" s="2" t="s">
        <v>41</v>
      </c>
      <c r="B425" s="8">
        <f>VLOOKUP(A425,Operations!$A$3:$B$132,2,TRUE)</f>
        <v>0</v>
      </c>
      <c r="C425" s="8">
        <f>VLOOKUP(A425,Operations!$A$3:$C$132,3,0)</f>
        <v>0</v>
      </c>
      <c r="D425" s="2" t="s">
        <v>152</v>
      </c>
      <c r="E425" s="2">
        <f>IFERROR(INDEX(Operations!$H$3:$K$132,MATCH(A425,Operations!$A$3:$A$132,0),MATCH(Link!D425,Operations!$H$2:$K$2,0)),"")</f>
        <v>0</v>
      </c>
      <c r="F425" t="b">
        <f>IF(E425&lt;&gt;0,IFERROR(VLOOKUP(A425,Operations!$A$3:$F$132,6,FALSE)*INDEX(Operations!$L$3:$O$132,MATCH(Link!A425,Operations!$A$3:$A$132,0),MATCH(Link!D425,Operations!$L$2:$O$2,0)),0))</f>
        <v>0</v>
      </c>
      <c r="G425" s="29" t="e">
        <f>ROUND((3600*F425/SUMIF($E$2:$E$521,E425,$F$2:$F$521))/VLOOKUP(A425,Operations!$A$3:$F$132,6,FALSE),0)</f>
        <v>#DIV/0!</v>
      </c>
      <c r="H425" s="28" t="e">
        <f t="shared" si="6"/>
        <v>#DIV/0!</v>
      </c>
    </row>
    <row r="426" spans="1:8" x14ac:dyDescent="0.3">
      <c r="A426" s="2" t="s">
        <v>42</v>
      </c>
      <c r="B426" s="8">
        <f>VLOOKUP(A426,Operations!$A$3:$B$132,2,TRUE)</f>
        <v>0</v>
      </c>
      <c r="C426" s="8">
        <f>VLOOKUP(A426,Operations!$A$3:$C$132,3,0)</f>
        <v>0</v>
      </c>
      <c r="D426" s="2" t="s">
        <v>152</v>
      </c>
      <c r="E426" s="2">
        <f>IFERROR(INDEX(Operations!$H$3:$K$132,MATCH(A426,Operations!$A$3:$A$132,0),MATCH(Link!D426,Operations!$H$2:$K$2,0)),"")</f>
        <v>0</v>
      </c>
      <c r="F426" t="b">
        <f>IF(E426&lt;&gt;0,IFERROR(VLOOKUP(A426,Operations!$A$3:$F$132,6,FALSE)*INDEX(Operations!$L$3:$O$132,MATCH(Link!A426,Operations!$A$3:$A$132,0),MATCH(Link!D426,Operations!$L$2:$O$2,0)),0))</f>
        <v>0</v>
      </c>
      <c r="G426" s="29" t="e">
        <f>ROUND((3600*F426/SUMIF($E$2:$E$521,E426,$F$2:$F$521))/VLOOKUP(A426,Operations!$A$3:$F$132,6,FALSE),0)</f>
        <v>#DIV/0!</v>
      </c>
      <c r="H426" s="28" t="e">
        <f t="shared" si="6"/>
        <v>#DIV/0!</v>
      </c>
    </row>
    <row r="427" spans="1:8" x14ac:dyDescent="0.3">
      <c r="A427" s="2" t="s">
        <v>43</v>
      </c>
      <c r="B427" s="8">
        <f>VLOOKUP(A427,Operations!$A$3:$B$132,2,TRUE)</f>
        <v>0</v>
      </c>
      <c r="C427" s="8">
        <f>VLOOKUP(A427,Operations!$A$3:$C$132,3,0)</f>
        <v>0</v>
      </c>
      <c r="D427" s="2" t="s">
        <v>152</v>
      </c>
      <c r="E427" s="2">
        <f>IFERROR(INDEX(Operations!$H$3:$K$132,MATCH(A427,Operations!$A$3:$A$132,0),MATCH(Link!D427,Operations!$H$2:$K$2,0)),"")</f>
        <v>0</v>
      </c>
      <c r="F427" t="b">
        <f>IF(E427&lt;&gt;0,IFERROR(VLOOKUP(A427,Operations!$A$3:$F$132,6,FALSE)*INDEX(Operations!$L$3:$O$132,MATCH(Link!A427,Operations!$A$3:$A$132,0),MATCH(Link!D427,Operations!$L$2:$O$2,0)),0))</f>
        <v>0</v>
      </c>
      <c r="G427" s="29" t="e">
        <f>ROUND((3600*F427/SUMIF($E$2:$E$521,E427,$F$2:$F$521))/VLOOKUP(A427,Operations!$A$3:$F$132,6,FALSE),0)</f>
        <v>#DIV/0!</v>
      </c>
      <c r="H427" s="28" t="e">
        <f t="shared" si="6"/>
        <v>#DIV/0!</v>
      </c>
    </row>
    <row r="428" spans="1:8" x14ac:dyDescent="0.3">
      <c r="A428" s="2" t="s">
        <v>44</v>
      </c>
      <c r="B428" s="8">
        <f>VLOOKUP(A428,Operations!$A$3:$B$132,2,TRUE)</f>
        <v>0</v>
      </c>
      <c r="C428" s="8">
        <f>VLOOKUP(A428,Operations!$A$3:$C$132,3,0)</f>
        <v>0</v>
      </c>
      <c r="D428" s="2" t="s">
        <v>152</v>
      </c>
      <c r="E428" s="2">
        <f>IFERROR(INDEX(Operations!$H$3:$K$132,MATCH(A428,Operations!$A$3:$A$132,0),MATCH(Link!D428,Operations!$H$2:$K$2,0)),"")</f>
        <v>0</v>
      </c>
      <c r="F428" t="b">
        <f>IF(E428&lt;&gt;0,IFERROR(VLOOKUP(A428,Operations!$A$3:$F$132,6,FALSE)*INDEX(Operations!$L$3:$O$132,MATCH(Link!A428,Operations!$A$3:$A$132,0),MATCH(Link!D428,Operations!$L$2:$O$2,0)),0))</f>
        <v>0</v>
      </c>
      <c r="G428" s="29" t="e">
        <f>ROUND((3600*F428/SUMIF($E$2:$E$521,E428,$F$2:$F$521))/VLOOKUP(A428,Operations!$A$3:$F$132,6,FALSE),0)</f>
        <v>#DIV/0!</v>
      </c>
      <c r="H428" s="28" t="e">
        <f t="shared" si="6"/>
        <v>#DIV/0!</v>
      </c>
    </row>
    <row r="429" spans="1:8" x14ac:dyDescent="0.3">
      <c r="A429" s="2" t="s">
        <v>45</v>
      </c>
      <c r="B429" s="8">
        <f>VLOOKUP(A429,Operations!$A$3:$B$132,2,TRUE)</f>
        <v>0</v>
      </c>
      <c r="C429" s="8">
        <f>VLOOKUP(A429,Operations!$A$3:$C$132,3,0)</f>
        <v>0</v>
      </c>
      <c r="D429" s="2" t="s">
        <v>152</v>
      </c>
      <c r="E429" s="2">
        <f>IFERROR(INDEX(Operations!$H$3:$K$132,MATCH(A429,Operations!$A$3:$A$132,0),MATCH(Link!D429,Operations!$H$2:$K$2,0)),"")</f>
        <v>0</v>
      </c>
      <c r="F429" t="b">
        <f>IF(E429&lt;&gt;0,IFERROR(VLOOKUP(A429,Operations!$A$3:$F$132,6,FALSE)*INDEX(Operations!$L$3:$O$132,MATCH(Link!A429,Operations!$A$3:$A$132,0),MATCH(Link!D429,Operations!$L$2:$O$2,0)),0))</f>
        <v>0</v>
      </c>
      <c r="G429" s="29" t="e">
        <f>ROUND((3600*F429/SUMIF($E$2:$E$521,E429,$F$2:$F$521))/VLOOKUP(A429,Operations!$A$3:$F$132,6,FALSE),0)</f>
        <v>#DIV/0!</v>
      </c>
      <c r="H429" s="28" t="e">
        <f t="shared" si="6"/>
        <v>#DIV/0!</v>
      </c>
    </row>
    <row r="430" spans="1:8" x14ac:dyDescent="0.3">
      <c r="A430" s="2" t="s">
        <v>46</v>
      </c>
      <c r="B430" s="8">
        <f>VLOOKUP(A430,Operations!$A$3:$B$132,2,TRUE)</f>
        <v>0</v>
      </c>
      <c r="C430" s="8">
        <f>VLOOKUP(A430,Operations!$A$3:$C$132,3,0)</f>
        <v>0</v>
      </c>
      <c r="D430" s="2" t="s">
        <v>152</v>
      </c>
      <c r="E430" s="2">
        <f>IFERROR(INDEX(Operations!$H$3:$K$132,MATCH(A430,Operations!$A$3:$A$132,0),MATCH(Link!D430,Operations!$H$2:$K$2,0)),"")</f>
        <v>0</v>
      </c>
      <c r="F430" t="b">
        <f>IF(E430&lt;&gt;0,IFERROR(VLOOKUP(A430,Operations!$A$3:$F$132,6,FALSE)*INDEX(Operations!$L$3:$O$132,MATCH(Link!A430,Operations!$A$3:$A$132,0),MATCH(Link!D430,Operations!$L$2:$O$2,0)),0))</f>
        <v>0</v>
      </c>
      <c r="G430" s="29" t="e">
        <f>ROUND((3600*F430/SUMIF($E$2:$E$521,E430,$F$2:$F$521))/VLOOKUP(A430,Operations!$A$3:$F$132,6,FALSE),0)</f>
        <v>#DIV/0!</v>
      </c>
      <c r="H430" s="28" t="e">
        <f t="shared" si="6"/>
        <v>#DIV/0!</v>
      </c>
    </row>
    <row r="431" spans="1:8" x14ac:dyDescent="0.3">
      <c r="A431" s="2" t="s">
        <v>47</v>
      </c>
      <c r="B431" s="8">
        <f>VLOOKUP(A431,Operations!$A$3:$B$132,2,TRUE)</f>
        <v>0</v>
      </c>
      <c r="C431" s="8">
        <f>VLOOKUP(A431,Operations!$A$3:$C$132,3,0)</f>
        <v>0</v>
      </c>
      <c r="D431" s="2" t="s">
        <v>152</v>
      </c>
      <c r="E431" s="2">
        <f>IFERROR(INDEX(Operations!$H$3:$K$132,MATCH(A431,Operations!$A$3:$A$132,0),MATCH(Link!D431,Operations!$H$2:$K$2,0)),"")</f>
        <v>0</v>
      </c>
      <c r="F431" t="b">
        <f>IF(E431&lt;&gt;0,IFERROR(VLOOKUP(A431,Operations!$A$3:$F$132,6,FALSE)*INDEX(Operations!$L$3:$O$132,MATCH(Link!A431,Operations!$A$3:$A$132,0),MATCH(Link!D431,Operations!$L$2:$O$2,0)),0))</f>
        <v>0</v>
      </c>
      <c r="G431" s="29" t="e">
        <f>ROUND((3600*F431/SUMIF($E$2:$E$521,E431,$F$2:$F$521))/VLOOKUP(A431,Operations!$A$3:$F$132,6,FALSE),0)</f>
        <v>#DIV/0!</v>
      </c>
      <c r="H431" s="28" t="e">
        <f t="shared" si="6"/>
        <v>#DIV/0!</v>
      </c>
    </row>
    <row r="432" spans="1:8" x14ac:dyDescent="0.3">
      <c r="A432" s="2" t="s">
        <v>48</v>
      </c>
      <c r="B432" s="8">
        <f>VLOOKUP(A432,Operations!$A$3:$B$132,2,TRUE)</f>
        <v>0</v>
      </c>
      <c r="C432" s="8">
        <f>VLOOKUP(A432,Operations!$A$3:$C$132,3,0)</f>
        <v>0</v>
      </c>
      <c r="D432" s="2" t="s">
        <v>152</v>
      </c>
      <c r="E432" s="2">
        <f>IFERROR(INDEX(Operations!$H$3:$K$132,MATCH(A432,Operations!$A$3:$A$132,0),MATCH(Link!D432,Operations!$H$2:$K$2,0)),"")</f>
        <v>0</v>
      </c>
      <c r="F432" t="b">
        <f>IF(E432&lt;&gt;0,IFERROR(VLOOKUP(A432,Operations!$A$3:$F$132,6,FALSE)*INDEX(Operations!$L$3:$O$132,MATCH(Link!A432,Operations!$A$3:$A$132,0),MATCH(Link!D432,Operations!$L$2:$O$2,0)),0))</f>
        <v>0</v>
      </c>
      <c r="G432" s="29" t="e">
        <f>ROUND((3600*F432/SUMIF($E$2:$E$521,E432,$F$2:$F$521))/VLOOKUP(A432,Operations!$A$3:$F$132,6,FALSE),0)</f>
        <v>#DIV/0!</v>
      </c>
      <c r="H432" s="28" t="e">
        <f t="shared" si="6"/>
        <v>#DIV/0!</v>
      </c>
    </row>
    <row r="433" spans="1:8" x14ac:dyDescent="0.3">
      <c r="A433" s="2" t="s">
        <v>49</v>
      </c>
      <c r="B433" s="8">
        <f>VLOOKUP(A433,Operations!$A$3:$B$132,2,TRUE)</f>
        <v>0</v>
      </c>
      <c r="C433" s="8">
        <f>VLOOKUP(A433,Operations!$A$3:$C$132,3,0)</f>
        <v>0</v>
      </c>
      <c r="D433" s="2" t="s">
        <v>152</v>
      </c>
      <c r="E433" s="2">
        <f>IFERROR(INDEX(Operations!$H$3:$K$132,MATCH(A433,Operations!$A$3:$A$132,0),MATCH(Link!D433,Operations!$H$2:$K$2,0)),"")</f>
        <v>0</v>
      </c>
      <c r="F433" t="b">
        <f>IF(E433&lt;&gt;0,IFERROR(VLOOKUP(A433,Operations!$A$3:$F$132,6,FALSE)*INDEX(Operations!$L$3:$O$132,MATCH(Link!A433,Operations!$A$3:$A$132,0),MATCH(Link!D433,Operations!$L$2:$O$2,0)),0))</f>
        <v>0</v>
      </c>
      <c r="G433" s="29" t="e">
        <f>ROUND((3600*F433/SUMIF($E$2:$E$521,E433,$F$2:$F$521))/VLOOKUP(A433,Operations!$A$3:$F$132,6,FALSE),0)</f>
        <v>#DIV/0!</v>
      </c>
      <c r="H433" s="28" t="e">
        <f t="shared" si="6"/>
        <v>#DIV/0!</v>
      </c>
    </row>
    <row r="434" spans="1:8" x14ac:dyDescent="0.3">
      <c r="A434" s="2" t="s">
        <v>50</v>
      </c>
      <c r="B434" s="8">
        <f>VLOOKUP(A434,Operations!$A$3:$B$132,2,TRUE)</f>
        <v>0</v>
      </c>
      <c r="C434" s="8">
        <f>VLOOKUP(A434,Operations!$A$3:$C$132,3,0)</f>
        <v>0</v>
      </c>
      <c r="D434" s="2" t="s">
        <v>152</v>
      </c>
      <c r="E434" s="2">
        <f>IFERROR(INDEX(Operations!$H$3:$K$132,MATCH(A434,Operations!$A$3:$A$132,0),MATCH(Link!D434,Operations!$H$2:$K$2,0)),"")</f>
        <v>0</v>
      </c>
      <c r="F434" t="b">
        <f>IF(E434&lt;&gt;0,IFERROR(VLOOKUP(A434,Operations!$A$3:$F$132,6,FALSE)*INDEX(Operations!$L$3:$O$132,MATCH(Link!A434,Operations!$A$3:$A$132,0),MATCH(Link!D434,Operations!$L$2:$O$2,0)),0))</f>
        <v>0</v>
      </c>
      <c r="G434" s="29" t="e">
        <f>ROUND((3600*F434/SUMIF($E$2:$E$521,E434,$F$2:$F$521))/VLOOKUP(A434,Operations!$A$3:$F$132,6,FALSE),0)</f>
        <v>#DIV/0!</v>
      </c>
      <c r="H434" s="28" t="e">
        <f t="shared" si="6"/>
        <v>#DIV/0!</v>
      </c>
    </row>
    <row r="435" spans="1:8" x14ac:dyDescent="0.3">
      <c r="A435" s="2" t="s">
        <v>51</v>
      </c>
      <c r="B435" s="8">
        <f>VLOOKUP(A435,Operations!$A$3:$B$132,2,TRUE)</f>
        <v>0</v>
      </c>
      <c r="C435" s="8">
        <f>VLOOKUP(A435,Operations!$A$3:$C$132,3,0)</f>
        <v>0</v>
      </c>
      <c r="D435" s="2" t="s">
        <v>152</v>
      </c>
      <c r="E435" s="2">
        <f>IFERROR(INDEX(Operations!$H$3:$K$132,MATCH(A435,Operations!$A$3:$A$132,0),MATCH(Link!D435,Operations!$H$2:$K$2,0)),"")</f>
        <v>0</v>
      </c>
      <c r="F435" t="b">
        <f>IF(E435&lt;&gt;0,IFERROR(VLOOKUP(A435,Operations!$A$3:$F$132,6,FALSE)*INDEX(Operations!$L$3:$O$132,MATCH(Link!A435,Operations!$A$3:$A$132,0),MATCH(Link!D435,Operations!$L$2:$O$2,0)),0))</f>
        <v>0</v>
      </c>
      <c r="G435" s="29" t="e">
        <f>ROUND((3600*F435/SUMIF($E$2:$E$521,E435,$F$2:$F$521))/VLOOKUP(A435,Operations!$A$3:$F$132,6,FALSE),0)</f>
        <v>#DIV/0!</v>
      </c>
      <c r="H435" s="28" t="e">
        <f t="shared" si="6"/>
        <v>#DIV/0!</v>
      </c>
    </row>
    <row r="436" spans="1:8" x14ac:dyDescent="0.3">
      <c r="A436" s="2" t="s">
        <v>52</v>
      </c>
      <c r="B436" s="8">
        <f>VLOOKUP(A436,Operations!$A$3:$B$132,2,TRUE)</f>
        <v>0</v>
      </c>
      <c r="C436" s="8">
        <f>VLOOKUP(A436,Operations!$A$3:$C$132,3,0)</f>
        <v>0</v>
      </c>
      <c r="D436" s="2" t="s">
        <v>152</v>
      </c>
      <c r="E436" s="2">
        <f>IFERROR(INDEX(Operations!$H$3:$K$132,MATCH(A436,Operations!$A$3:$A$132,0),MATCH(Link!D436,Operations!$H$2:$K$2,0)),"")</f>
        <v>0</v>
      </c>
      <c r="F436" t="b">
        <f>IF(E436&lt;&gt;0,IFERROR(VLOOKUP(A436,Operations!$A$3:$F$132,6,FALSE)*INDEX(Operations!$L$3:$O$132,MATCH(Link!A436,Operations!$A$3:$A$132,0),MATCH(Link!D436,Operations!$L$2:$O$2,0)),0))</f>
        <v>0</v>
      </c>
      <c r="G436" s="29" t="e">
        <f>ROUND((3600*F436/SUMIF($E$2:$E$521,E436,$F$2:$F$521))/VLOOKUP(A436,Operations!$A$3:$F$132,6,FALSE),0)</f>
        <v>#DIV/0!</v>
      </c>
      <c r="H436" s="28" t="e">
        <f t="shared" si="6"/>
        <v>#DIV/0!</v>
      </c>
    </row>
    <row r="437" spans="1:8" x14ac:dyDescent="0.3">
      <c r="A437" s="2" t="s">
        <v>53</v>
      </c>
      <c r="B437" s="8">
        <f>VLOOKUP(A437,Operations!$A$3:$B$132,2,TRUE)</f>
        <v>0</v>
      </c>
      <c r="C437" s="8">
        <f>VLOOKUP(A437,Operations!$A$3:$C$132,3,0)</f>
        <v>0</v>
      </c>
      <c r="D437" s="2" t="s">
        <v>152</v>
      </c>
      <c r="E437" s="2">
        <f>IFERROR(INDEX(Operations!$H$3:$K$132,MATCH(A437,Operations!$A$3:$A$132,0),MATCH(Link!D437,Operations!$H$2:$K$2,0)),"")</f>
        <v>0</v>
      </c>
      <c r="F437" t="b">
        <f>IF(E437&lt;&gt;0,IFERROR(VLOOKUP(A437,Operations!$A$3:$F$132,6,FALSE)*INDEX(Operations!$L$3:$O$132,MATCH(Link!A437,Operations!$A$3:$A$132,0),MATCH(Link!D437,Operations!$L$2:$O$2,0)),0))</f>
        <v>0</v>
      </c>
      <c r="G437" s="29" t="e">
        <f>ROUND((3600*F437/SUMIF($E$2:$E$521,E437,$F$2:$F$521))/VLOOKUP(A437,Operations!$A$3:$F$132,6,FALSE),0)</f>
        <v>#DIV/0!</v>
      </c>
      <c r="H437" s="28" t="e">
        <f t="shared" si="6"/>
        <v>#DIV/0!</v>
      </c>
    </row>
    <row r="438" spans="1:8" x14ac:dyDescent="0.3">
      <c r="A438" s="2" t="s">
        <v>54</v>
      </c>
      <c r="B438" s="8">
        <f>VLOOKUP(A438,Operations!$A$3:$B$132,2,TRUE)</f>
        <v>0</v>
      </c>
      <c r="C438" s="8">
        <f>VLOOKUP(A438,Operations!$A$3:$C$132,3,0)</f>
        <v>0</v>
      </c>
      <c r="D438" s="2" t="s">
        <v>152</v>
      </c>
      <c r="E438" s="2">
        <f>IFERROR(INDEX(Operations!$H$3:$K$132,MATCH(A438,Operations!$A$3:$A$132,0),MATCH(Link!D438,Operations!$H$2:$K$2,0)),"")</f>
        <v>0</v>
      </c>
      <c r="F438" t="b">
        <f>IF(E438&lt;&gt;0,IFERROR(VLOOKUP(A438,Operations!$A$3:$F$132,6,FALSE)*INDEX(Operations!$L$3:$O$132,MATCH(Link!A438,Operations!$A$3:$A$132,0),MATCH(Link!D438,Operations!$L$2:$O$2,0)),0))</f>
        <v>0</v>
      </c>
      <c r="G438" s="29" t="e">
        <f>ROUND((3600*F438/SUMIF($E$2:$E$521,E438,$F$2:$F$521))/VLOOKUP(A438,Operations!$A$3:$F$132,6,FALSE),0)</f>
        <v>#DIV/0!</v>
      </c>
      <c r="H438" s="28" t="e">
        <f t="shared" si="6"/>
        <v>#DIV/0!</v>
      </c>
    </row>
    <row r="439" spans="1:8" x14ac:dyDescent="0.3">
      <c r="A439" s="2" t="s">
        <v>55</v>
      </c>
      <c r="B439" s="8">
        <f>VLOOKUP(A439,Operations!$A$3:$B$132,2,TRUE)</f>
        <v>0</v>
      </c>
      <c r="C439" s="8">
        <f>VLOOKUP(A439,Operations!$A$3:$C$132,3,0)</f>
        <v>0</v>
      </c>
      <c r="D439" s="2" t="s">
        <v>152</v>
      </c>
      <c r="E439" s="2">
        <f>IFERROR(INDEX(Operations!$H$3:$K$132,MATCH(A439,Operations!$A$3:$A$132,0),MATCH(Link!D439,Operations!$H$2:$K$2,0)),"")</f>
        <v>0</v>
      </c>
      <c r="F439" t="b">
        <f>IF(E439&lt;&gt;0,IFERROR(VLOOKUP(A439,Operations!$A$3:$F$132,6,FALSE)*INDEX(Operations!$L$3:$O$132,MATCH(Link!A439,Operations!$A$3:$A$132,0),MATCH(Link!D439,Operations!$L$2:$O$2,0)),0))</f>
        <v>0</v>
      </c>
      <c r="G439" s="29" t="e">
        <f>ROUND((3600*F439/SUMIF($E$2:$E$521,E439,$F$2:$F$521))/VLOOKUP(A439,Operations!$A$3:$F$132,6,FALSE),0)</f>
        <v>#DIV/0!</v>
      </c>
      <c r="H439" s="28" t="e">
        <f t="shared" si="6"/>
        <v>#DIV/0!</v>
      </c>
    </row>
    <row r="440" spans="1:8" x14ac:dyDescent="0.3">
      <c r="A440" s="2" t="s">
        <v>56</v>
      </c>
      <c r="B440" s="8">
        <f>VLOOKUP(A440,Operations!$A$3:$B$132,2,TRUE)</f>
        <v>0</v>
      </c>
      <c r="C440" s="8">
        <f>VLOOKUP(A440,Operations!$A$3:$C$132,3,0)</f>
        <v>0</v>
      </c>
      <c r="D440" s="2" t="s">
        <v>152</v>
      </c>
      <c r="E440" s="2">
        <f>IFERROR(INDEX(Operations!$H$3:$K$132,MATCH(A440,Operations!$A$3:$A$132,0),MATCH(Link!D440,Operations!$H$2:$K$2,0)),"")</f>
        <v>0</v>
      </c>
      <c r="F440" t="b">
        <f>IF(E440&lt;&gt;0,IFERROR(VLOOKUP(A440,Operations!$A$3:$F$132,6,FALSE)*INDEX(Operations!$L$3:$O$132,MATCH(Link!A440,Operations!$A$3:$A$132,0),MATCH(Link!D440,Operations!$L$2:$O$2,0)),0))</f>
        <v>0</v>
      </c>
      <c r="G440" s="29" t="e">
        <f>ROUND((3600*F440/SUMIF($E$2:$E$521,E440,$F$2:$F$521))/VLOOKUP(A440,Operations!$A$3:$F$132,6,FALSE),0)</f>
        <v>#DIV/0!</v>
      </c>
      <c r="H440" s="28" t="e">
        <f t="shared" si="6"/>
        <v>#DIV/0!</v>
      </c>
    </row>
    <row r="441" spans="1:8" x14ac:dyDescent="0.3">
      <c r="A441" s="2" t="s">
        <v>57</v>
      </c>
      <c r="B441" s="8">
        <f>VLOOKUP(A441,Operations!$A$3:$B$132,2,TRUE)</f>
        <v>0</v>
      </c>
      <c r="C441" s="8">
        <f>VLOOKUP(A441,Operations!$A$3:$C$132,3,0)</f>
        <v>0</v>
      </c>
      <c r="D441" s="2" t="s">
        <v>152</v>
      </c>
      <c r="E441" s="2">
        <f>IFERROR(INDEX(Operations!$H$3:$K$132,MATCH(A441,Operations!$A$3:$A$132,0),MATCH(Link!D441,Operations!$H$2:$K$2,0)),"")</f>
        <v>0</v>
      </c>
      <c r="F441" t="b">
        <f>IF(E441&lt;&gt;0,IFERROR(VLOOKUP(A441,Operations!$A$3:$F$132,6,FALSE)*INDEX(Operations!$L$3:$O$132,MATCH(Link!A441,Operations!$A$3:$A$132,0),MATCH(Link!D441,Operations!$L$2:$O$2,0)),0))</f>
        <v>0</v>
      </c>
      <c r="G441" s="29" t="e">
        <f>ROUND((3600*F441/SUMIF($E$2:$E$521,E441,$F$2:$F$521))/VLOOKUP(A441,Operations!$A$3:$F$132,6,FALSE),0)</f>
        <v>#DIV/0!</v>
      </c>
      <c r="H441" s="28" t="e">
        <f t="shared" si="6"/>
        <v>#DIV/0!</v>
      </c>
    </row>
    <row r="442" spans="1:8" x14ac:dyDescent="0.3">
      <c r="A442" s="2" t="s">
        <v>58</v>
      </c>
      <c r="B442" s="8">
        <f>VLOOKUP(A442,Operations!$A$3:$B$132,2,TRUE)</f>
        <v>0</v>
      </c>
      <c r="C442" s="8">
        <f>VLOOKUP(A442,Operations!$A$3:$C$132,3,0)</f>
        <v>0</v>
      </c>
      <c r="D442" s="2" t="s">
        <v>152</v>
      </c>
      <c r="E442" s="2">
        <f>IFERROR(INDEX(Operations!$H$3:$K$132,MATCH(A442,Operations!$A$3:$A$132,0),MATCH(Link!D442,Operations!$H$2:$K$2,0)),"")</f>
        <v>0</v>
      </c>
      <c r="F442" t="b">
        <f>IF(E442&lt;&gt;0,IFERROR(VLOOKUP(A442,Operations!$A$3:$F$132,6,FALSE)*INDEX(Operations!$L$3:$O$132,MATCH(Link!A442,Operations!$A$3:$A$132,0),MATCH(Link!D442,Operations!$L$2:$O$2,0)),0))</f>
        <v>0</v>
      </c>
      <c r="G442" s="29" t="e">
        <f>ROUND((3600*F442/SUMIF($E$2:$E$521,E442,$F$2:$F$521))/VLOOKUP(A442,Operations!$A$3:$F$132,6,FALSE),0)</f>
        <v>#DIV/0!</v>
      </c>
      <c r="H442" s="28" t="e">
        <f t="shared" si="6"/>
        <v>#DIV/0!</v>
      </c>
    </row>
    <row r="443" spans="1:8" x14ac:dyDescent="0.3">
      <c r="A443" s="2" t="s">
        <v>59</v>
      </c>
      <c r="B443" s="8">
        <f>VLOOKUP(A443,Operations!$A$3:$B$132,2,TRUE)</f>
        <v>0</v>
      </c>
      <c r="C443" s="8">
        <f>VLOOKUP(A443,Operations!$A$3:$C$132,3,0)</f>
        <v>0</v>
      </c>
      <c r="D443" s="2" t="s">
        <v>152</v>
      </c>
      <c r="E443" s="2">
        <f>IFERROR(INDEX(Operations!$H$3:$K$132,MATCH(A443,Operations!$A$3:$A$132,0),MATCH(Link!D443,Operations!$H$2:$K$2,0)),"")</f>
        <v>0</v>
      </c>
      <c r="F443" t="b">
        <f>IF(E443&lt;&gt;0,IFERROR(VLOOKUP(A443,Operations!$A$3:$F$132,6,FALSE)*INDEX(Operations!$L$3:$O$132,MATCH(Link!A443,Operations!$A$3:$A$132,0),MATCH(Link!D443,Operations!$L$2:$O$2,0)),0))</f>
        <v>0</v>
      </c>
      <c r="G443" s="29" t="e">
        <f>ROUND((3600*F443/SUMIF($E$2:$E$521,E443,$F$2:$F$521))/VLOOKUP(A443,Operations!$A$3:$F$132,6,FALSE),0)</f>
        <v>#DIV/0!</v>
      </c>
      <c r="H443" s="28" t="e">
        <f t="shared" si="6"/>
        <v>#DIV/0!</v>
      </c>
    </row>
    <row r="444" spans="1:8" x14ac:dyDescent="0.3">
      <c r="A444" s="2" t="s">
        <v>60</v>
      </c>
      <c r="B444" s="8">
        <f>VLOOKUP(A444,Operations!$A$3:$B$132,2,TRUE)</f>
        <v>0</v>
      </c>
      <c r="C444" s="8">
        <f>VLOOKUP(A444,Operations!$A$3:$C$132,3,0)</f>
        <v>0</v>
      </c>
      <c r="D444" s="2" t="s">
        <v>152</v>
      </c>
      <c r="E444" s="2">
        <f>IFERROR(INDEX(Operations!$H$3:$K$132,MATCH(A444,Operations!$A$3:$A$132,0),MATCH(Link!D444,Operations!$H$2:$K$2,0)),"")</f>
        <v>0</v>
      </c>
      <c r="F444" t="b">
        <f>IF(E444&lt;&gt;0,IFERROR(VLOOKUP(A444,Operations!$A$3:$F$132,6,FALSE)*INDEX(Operations!$L$3:$O$132,MATCH(Link!A444,Operations!$A$3:$A$132,0),MATCH(Link!D444,Operations!$L$2:$O$2,0)),0))</f>
        <v>0</v>
      </c>
      <c r="G444" s="29" t="e">
        <f>ROUND((3600*F444/SUMIF($E$2:$E$521,E444,$F$2:$F$521))/VLOOKUP(A444,Operations!$A$3:$F$132,6,FALSE),0)</f>
        <v>#DIV/0!</v>
      </c>
      <c r="H444" s="28" t="e">
        <f t="shared" si="6"/>
        <v>#DIV/0!</v>
      </c>
    </row>
    <row r="445" spans="1:8" x14ac:dyDescent="0.3">
      <c r="A445" s="2" t="s">
        <v>61</v>
      </c>
      <c r="B445" s="8">
        <f>VLOOKUP(A445,Operations!$A$3:$B$132,2,TRUE)</f>
        <v>0</v>
      </c>
      <c r="C445" s="8">
        <f>VLOOKUP(A445,Operations!$A$3:$C$132,3,0)</f>
        <v>0</v>
      </c>
      <c r="D445" s="2" t="s">
        <v>152</v>
      </c>
      <c r="E445" s="2">
        <f>IFERROR(INDEX(Operations!$H$3:$K$132,MATCH(A445,Operations!$A$3:$A$132,0),MATCH(Link!D445,Operations!$H$2:$K$2,0)),"")</f>
        <v>0</v>
      </c>
      <c r="F445" t="b">
        <f>IF(E445&lt;&gt;0,IFERROR(VLOOKUP(A445,Operations!$A$3:$F$132,6,FALSE)*INDEX(Operations!$L$3:$O$132,MATCH(Link!A445,Operations!$A$3:$A$132,0),MATCH(Link!D445,Operations!$L$2:$O$2,0)),0))</f>
        <v>0</v>
      </c>
      <c r="G445" s="29" t="e">
        <f>ROUND((3600*F445/SUMIF($E$2:$E$521,E445,$F$2:$F$521))/VLOOKUP(A445,Operations!$A$3:$F$132,6,FALSE),0)</f>
        <v>#DIV/0!</v>
      </c>
      <c r="H445" s="28" t="e">
        <f t="shared" si="6"/>
        <v>#DIV/0!</v>
      </c>
    </row>
    <row r="446" spans="1:8" x14ac:dyDescent="0.3">
      <c r="A446" s="2" t="s">
        <v>62</v>
      </c>
      <c r="B446" s="8">
        <f>VLOOKUP(A446,Operations!$A$3:$B$132,2,TRUE)</f>
        <v>0</v>
      </c>
      <c r="C446" s="8">
        <f>VLOOKUP(A446,Operations!$A$3:$C$132,3,0)</f>
        <v>0</v>
      </c>
      <c r="D446" s="2" t="s">
        <v>152</v>
      </c>
      <c r="E446" s="2">
        <f>IFERROR(INDEX(Operations!$H$3:$K$132,MATCH(A446,Operations!$A$3:$A$132,0),MATCH(Link!D446,Operations!$H$2:$K$2,0)),"")</f>
        <v>0</v>
      </c>
      <c r="F446" t="b">
        <f>IF(E446&lt;&gt;0,IFERROR(VLOOKUP(A446,Operations!$A$3:$F$132,6,FALSE)*INDEX(Operations!$L$3:$O$132,MATCH(Link!A446,Operations!$A$3:$A$132,0),MATCH(Link!D446,Operations!$L$2:$O$2,0)),0))</f>
        <v>0</v>
      </c>
      <c r="G446" s="29" t="e">
        <f>ROUND((3600*F446/SUMIF($E$2:$E$521,E446,$F$2:$F$521))/VLOOKUP(A446,Operations!$A$3:$F$132,6,FALSE),0)</f>
        <v>#DIV/0!</v>
      </c>
      <c r="H446" s="28" t="e">
        <f t="shared" si="6"/>
        <v>#DIV/0!</v>
      </c>
    </row>
    <row r="447" spans="1:8" x14ac:dyDescent="0.3">
      <c r="A447" s="2" t="s">
        <v>63</v>
      </c>
      <c r="B447" s="8">
        <f>VLOOKUP(A447,Operations!$A$3:$B$132,2,TRUE)</f>
        <v>0</v>
      </c>
      <c r="C447" s="8">
        <f>VLOOKUP(A447,Operations!$A$3:$C$132,3,0)</f>
        <v>0</v>
      </c>
      <c r="D447" s="2" t="s">
        <v>152</v>
      </c>
      <c r="E447" s="2">
        <f>IFERROR(INDEX(Operations!$H$3:$K$132,MATCH(A447,Operations!$A$3:$A$132,0),MATCH(Link!D447,Operations!$H$2:$K$2,0)),"")</f>
        <v>0</v>
      </c>
      <c r="F447" t="b">
        <f>IF(E447&lt;&gt;0,IFERROR(VLOOKUP(A447,Operations!$A$3:$F$132,6,FALSE)*INDEX(Operations!$L$3:$O$132,MATCH(Link!A447,Operations!$A$3:$A$132,0),MATCH(Link!D447,Operations!$L$2:$O$2,0)),0))</f>
        <v>0</v>
      </c>
      <c r="G447" s="29" t="e">
        <f>ROUND((3600*F447/SUMIF($E$2:$E$521,E447,$F$2:$F$521))/VLOOKUP(A447,Operations!$A$3:$F$132,6,FALSE),0)</f>
        <v>#DIV/0!</v>
      </c>
      <c r="H447" s="28" t="e">
        <f t="shared" si="6"/>
        <v>#DIV/0!</v>
      </c>
    </row>
    <row r="448" spans="1:8" x14ac:dyDescent="0.3">
      <c r="A448" s="2" t="s">
        <v>64</v>
      </c>
      <c r="B448" s="8">
        <f>VLOOKUP(A448,Operations!$A$3:$B$132,2,TRUE)</f>
        <v>0</v>
      </c>
      <c r="C448" s="8">
        <f>VLOOKUP(A448,Operations!$A$3:$C$132,3,0)</f>
        <v>0</v>
      </c>
      <c r="D448" s="2" t="s">
        <v>152</v>
      </c>
      <c r="E448" s="2">
        <f>IFERROR(INDEX(Operations!$H$3:$K$132,MATCH(A448,Operations!$A$3:$A$132,0),MATCH(Link!D448,Operations!$H$2:$K$2,0)),"")</f>
        <v>0</v>
      </c>
      <c r="F448" t="b">
        <f>IF(E448&lt;&gt;0,IFERROR(VLOOKUP(A448,Operations!$A$3:$F$132,6,FALSE)*INDEX(Operations!$L$3:$O$132,MATCH(Link!A448,Operations!$A$3:$A$132,0),MATCH(Link!D448,Operations!$L$2:$O$2,0)),0))</f>
        <v>0</v>
      </c>
      <c r="G448" s="29" t="e">
        <f>ROUND((3600*F448/SUMIF($E$2:$E$521,E448,$F$2:$F$521))/VLOOKUP(A448,Operations!$A$3:$F$132,6,FALSE),0)</f>
        <v>#DIV/0!</v>
      </c>
      <c r="H448" s="28" t="e">
        <f t="shared" si="6"/>
        <v>#DIV/0!</v>
      </c>
    </row>
    <row r="449" spans="1:8" x14ac:dyDescent="0.3">
      <c r="A449" s="2" t="s">
        <v>65</v>
      </c>
      <c r="B449" s="8">
        <f>VLOOKUP(A449,Operations!$A$3:$B$132,2,TRUE)</f>
        <v>0</v>
      </c>
      <c r="C449" s="8">
        <f>VLOOKUP(A449,Operations!$A$3:$C$132,3,0)</f>
        <v>0</v>
      </c>
      <c r="D449" s="2" t="s">
        <v>152</v>
      </c>
      <c r="E449" s="2">
        <f>IFERROR(INDEX(Operations!$H$3:$K$132,MATCH(A449,Operations!$A$3:$A$132,0),MATCH(Link!D449,Operations!$H$2:$K$2,0)),"")</f>
        <v>0</v>
      </c>
      <c r="F449" t="b">
        <f>IF(E449&lt;&gt;0,IFERROR(VLOOKUP(A449,Operations!$A$3:$F$132,6,FALSE)*INDEX(Operations!$L$3:$O$132,MATCH(Link!A449,Operations!$A$3:$A$132,0),MATCH(Link!D449,Operations!$L$2:$O$2,0)),0))</f>
        <v>0</v>
      </c>
      <c r="G449" s="29" t="e">
        <f>ROUND((3600*F449/SUMIF($E$2:$E$521,E449,$F$2:$F$521))/VLOOKUP(A449,Operations!$A$3:$F$132,6,FALSE),0)</f>
        <v>#DIV/0!</v>
      </c>
      <c r="H449" s="28" t="e">
        <f t="shared" si="6"/>
        <v>#DIV/0!</v>
      </c>
    </row>
    <row r="450" spans="1:8" x14ac:dyDescent="0.3">
      <c r="A450" s="2" t="s">
        <v>66</v>
      </c>
      <c r="B450" s="8">
        <f>VLOOKUP(A450,Operations!$A$3:$B$132,2,TRUE)</f>
        <v>0</v>
      </c>
      <c r="C450" s="8">
        <f>VLOOKUP(A450,Operations!$A$3:$C$132,3,0)</f>
        <v>0</v>
      </c>
      <c r="D450" s="2" t="s">
        <v>152</v>
      </c>
      <c r="E450" s="2">
        <f>IFERROR(INDEX(Operations!$H$3:$K$132,MATCH(A450,Operations!$A$3:$A$132,0),MATCH(Link!D450,Operations!$H$2:$K$2,0)),"")</f>
        <v>0</v>
      </c>
      <c r="F450" t="b">
        <f>IF(E450&lt;&gt;0,IFERROR(VLOOKUP(A450,Operations!$A$3:$F$132,6,FALSE)*INDEX(Operations!$L$3:$O$132,MATCH(Link!A450,Operations!$A$3:$A$132,0),MATCH(Link!D450,Operations!$L$2:$O$2,0)),0))</f>
        <v>0</v>
      </c>
      <c r="G450" s="29" t="e">
        <f>ROUND((3600*F450/SUMIF($E$2:$E$521,E450,$F$2:$F$521))/VLOOKUP(A450,Operations!$A$3:$F$132,6,FALSE),0)</f>
        <v>#DIV/0!</v>
      </c>
      <c r="H450" s="28" t="e">
        <f t="shared" si="6"/>
        <v>#DIV/0!</v>
      </c>
    </row>
    <row r="451" spans="1:8" x14ac:dyDescent="0.3">
      <c r="A451" s="2" t="s">
        <v>67</v>
      </c>
      <c r="B451" s="8">
        <f>VLOOKUP(A451,Operations!$A$3:$B$132,2,TRUE)</f>
        <v>0</v>
      </c>
      <c r="C451" s="8">
        <f>VLOOKUP(A451,Operations!$A$3:$C$132,3,0)</f>
        <v>0</v>
      </c>
      <c r="D451" s="2" t="s">
        <v>152</v>
      </c>
      <c r="E451" s="2">
        <f>IFERROR(INDEX(Operations!$H$3:$K$132,MATCH(A451,Operations!$A$3:$A$132,0),MATCH(Link!D451,Operations!$H$2:$K$2,0)),"")</f>
        <v>0</v>
      </c>
      <c r="F451" t="b">
        <f>IF(E451&lt;&gt;0,IFERROR(VLOOKUP(A451,Operations!$A$3:$F$132,6,FALSE)*INDEX(Operations!$L$3:$O$132,MATCH(Link!A451,Operations!$A$3:$A$132,0),MATCH(Link!D451,Operations!$L$2:$O$2,0)),0))</f>
        <v>0</v>
      </c>
      <c r="G451" s="29" t="e">
        <f>ROUND((3600*F451/SUMIF($E$2:$E$521,E451,$F$2:$F$521))/VLOOKUP(A451,Operations!$A$3:$F$132,6,FALSE),0)</f>
        <v>#DIV/0!</v>
      </c>
      <c r="H451" s="28" t="e">
        <f t="shared" ref="H451:H514" si="7">C451&amp;":"&amp;" "&amp;G451</f>
        <v>#DIV/0!</v>
      </c>
    </row>
    <row r="452" spans="1:8" x14ac:dyDescent="0.3">
      <c r="A452" s="2" t="s">
        <v>68</v>
      </c>
      <c r="B452" s="8">
        <f>VLOOKUP(A452,Operations!$A$3:$B$132,2,TRUE)</f>
        <v>0</v>
      </c>
      <c r="C452" s="8">
        <f>VLOOKUP(A452,Operations!$A$3:$C$132,3,0)</f>
        <v>0</v>
      </c>
      <c r="D452" s="2" t="s">
        <v>152</v>
      </c>
      <c r="E452" s="2">
        <f>IFERROR(INDEX(Operations!$H$3:$K$132,MATCH(A452,Operations!$A$3:$A$132,0),MATCH(Link!D452,Operations!$H$2:$K$2,0)),"")</f>
        <v>0</v>
      </c>
      <c r="F452" t="b">
        <f>IF(E452&lt;&gt;0,IFERROR(VLOOKUP(A452,Operations!$A$3:$F$132,6,FALSE)*INDEX(Operations!$L$3:$O$132,MATCH(Link!A452,Operations!$A$3:$A$132,0),MATCH(Link!D452,Operations!$L$2:$O$2,0)),0))</f>
        <v>0</v>
      </c>
      <c r="G452" s="29" t="e">
        <f>ROUND((3600*F452/SUMIF($E$2:$E$521,E452,$F$2:$F$521))/VLOOKUP(A452,Operations!$A$3:$F$132,6,FALSE),0)</f>
        <v>#DIV/0!</v>
      </c>
      <c r="H452" s="28" t="e">
        <f t="shared" si="7"/>
        <v>#DIV/0!</v>
      </c>
    </row>
    <row r="453" spans="1:8" x14ac:dyDescent="0.3">
      <c r="A453" s="2" t="s">
        <v>69</v>
      </c>
      <c r="B453" s="8">
        <f>VLOOKUP(A453,Operations!$A$3:$B$132,2,TRUE)</f>
        <v>0</v>
      </c>
      <c r="C453" s="8">
        <f>VLOOKUP(A453,Operations!$A$3:$C$132,3,0)</f>
        <v>0</v>
      </c>
      <c r="D453" s="2" t="s">
        <v>152</v>
      </c>
      <c r="E453" s="2">
        <f>IFERROR(INDEX(Operations!$H$3:$K$132,MATCH(A453,Operations!$A$3:$A$132,0),MATCH(Link!D453,Operations!$H$2:$K$2,0)),"")</f>
        <v>0</v>
      </c>
      <c r="F453" t="b">
        <f>IF(E453&lt;&gt;0,IFERROR(VLOOKUP(A453,Operations!$A$3:$F$132,6,FALSE)*INDEX(Operations!$L$3:$O$132,MATCH(Link!A453,Operations!$A$3:$A$132,0),MATCH(Link!D453,Operations!$L$2:$O$2,0)),0))</f>
        <v>0</v>
      </c>
      <c r="G453" s="29" t="e">
        <f>ROUND((3600*F453/SUMIF($E$2:$E$521,E453,$F$2:$F$521))/VLOOKUP(A453,Operations!$A$3:$F$132,6,FALSE),0)</f>
        <v>#DIV/0!</v>
      </c>
      <c r="H453" s="28" t="e">
        <f t="shared" si="7"/>
        <v>#DIV/0!</v>
      </c>
    </row>
    <row r="454" spans="1:8" x14ac:dyDescent="0.3">
      <c r="A454" s="2" t="s">
        <v>70</v>
      </c>
      <c r="B454" s="8">
        <f>VLOOKUP(A454,Operations!$A$3:$B$132,2,TRUE)</f>
        <v>0</v>
      </c>
      <c r="C454" s="8">
        <f>VLOOKUP(A454,Operations!$A$3:$C$132,3,0)</f>
        <v>0</v>
      </c>
      <c r="D454" s="2" t="s">
        <v>152</v>
      </c>
      <c r="E454" s="2">
        <f>IFERROR(INDEX(Operations!$H$3:$K$132,MATCH(A454,Operations!$A$3:$A$132,0),MATCH(Link!D454,Operations!$H$2:$K$2,0)),"")</f>
        <v>0</v>
      </c>
      <c r="F454" t="b">
        <f>IF(E454&lt;&gt;0,IFERROR(VLOOKUP(A454,Operations!$A$3:$F$132,6,FALSE)*INDEX(Operations!$L$3:$O$132,MATCH(Link!A454,Operations!$A$3:$A$132,0),MATCH(Link!D454,Operations!$L$2:$O$2,0)),0))</f>
        <v>0</v>
      </c>
      <c r="G454" s="29" t="e">
        <f>ROUND((3600*F454/SUMIF($E$2:$E$521,E454,$F$2:$F$521))/VLOOKUP(A454,Operations!$A$3:$F$132,6,FALSE),0)</f>
        <v>#DIV/0!</v>
      </c>
      <c r="H454" s="28" t="e">
        <f t="shared" si="7"/>
        <v>#DIV/0!</v>
      </c>
    </row>
    <row r="455" spans="1:8" x14ac:dyDescent="0.3">
      <c r="A455" s="2" t="s">
        <v>71</v>
      </c>
      <c r="B455" s="8">
        <f>VLOOKUP(A455,Operations!$A$3:$B$132,2,TRUE)</f>
        <v>0</v>
      </c>
      <c r="C455" s="8">
        <f>VLOOKUP(A455,Operations!$A$3:$C$132,3,0)</f>
        <v>0</v>
      </c>
      <c r="D455" s="2" t="s">
        <v>152</v>
      </c>
      <c r="E455" s="2">
        <f>IFERROR(INDEX(Operations!$H$3:$K$132,MATCH(A455,Operations!$A$3:$A$132,0),MATCH(Link!D455,Operations!$H$2:$K$2,0)),"")</f>
        <v>0</v>
      </c>
      <c r="F455" t="b">
        <f>IF(E455&lt;&gt;0,IFERROR(VLOOKUP(A455,Operations!$A$3:$F$132,6,FALSE)*INDEX(Operations!$L$3:$O$132,MATCH(Link!A455,Operations!$A$3:$A$132,0),MATCH(Link!D455,Operations!$L$2:$O$2,0)),0))</f>
        <v>0</v>
      </c>
      <c r="G455" s="29" t="e">
        <f>ROUND((3600*F455/SUMIF($E$2:$E$521,E455,$F$2:$F$521))/VLOOKUP(A455,Operations!$A$3:$F$132,6,FALSE),0)</f>
        <v>#DIV/0!</v>
      </c>
      <c r="H455" s="28" t="e">
        <f t="shared" si="7"/>
        <v>#DIV/0!</v>
      </c>
    </row>
    <row r="456" spans="1:8" x14ac:dyDescent="0.3">
      <c r="A456" s="2" t="s">
        <v>72</v>
      </c>
      <c r="B456" s="8">
        <f>VLOOKUP(A456,Operations!$A$3:$B$132,2,TRUE)</f>
        <v>0</v>
      </c>
      <c r="C456" s="8">
        <f>VLOOKUP(A456,Operations!$A$3:$C$132,3,0)</f>
        <v>0</v>
      </c>
      <c r="D456" s="2" t="s">
        <v>152</v>
      </c>
      <c r="E456" s="2">
        <f>IFERROR(INDEX(Operations!$H$3:$K$132,MATCH(A456,Operations!$A$3:$A$132,0),MATCH(Link!D456,Operations!$H$2:$K$2,0)),"")</f>
        <v>0</v>
      </c>
      <c r="F456" t="b">
        <f>IF(E456&lt;&gt;0,IFERROR(VLOOKUP(A456,Operations!$A$3:$F$132,6,FALSE)*INDEX(Operations!$L$3:$O$132,MATCH(Link!A456,Operations!$A$3:$A$132,0),MATCH(Link!D456,Operations!$L$2:$O$2,0)),0))</f>
        <v>0</v>
      </c>
      <c r="G456" s="29" t="e">
        <f>ROUND((3600*F456/SUMIF($E$2:$E$521,E456,$F$2:$F$521))/VLOOKUP(A456,Operations!$A$3:$F$132,6,FALSE),0)</f>
        <v>#DIV/0!</v>
      </c>
      <c r="H456" s="28" t="e">
        <f t="shared" si="7"/>
        <v>#DIV/0!</v>
      </c>
    </row>
    <row r="457" spans="1:8" x14ac:dyDescent="0.3">
      <c r="A457" s="2" t="s">
        <v>73</v>
      </c>
      <c r="B457" s="8">
        <f>VLOOKUP(A457,Operations!$A$3:$B$132,2,TRUE)</f>
        <v>0</v>
      </c>
      <c r="C457" s="8">
        <f>VLOOKUP(A457,Operations!$A$3:$C$132,3,0)</f>
        <v>0</v>
      </c>
      <c r="D457" s="2" t="s">
        <v>152</v>
      </c>
      <c r="E457" s="2">
        <f>IFERROR(INDEX(Operations!$H$3:$K$132,MATCH(A457,Operations!$A$3:$A$132,0),MATCH(Link!D457,Operations!$H$2:$K$2,0)),"")</f>
        <v>0</v>
      </c>
      <c r="F457" t="b">
        <f>IF(E457&lt;&gt;0,IFERROR(VLOOKUP(A457,Operations!$A$3:$F$132,6,FALSE)*INDEX(Operations!$L$3:$O$132,MATCH(Link!A457,Operations!$A$3:$A$132,0),MATCH(Link!D457,Operations!$L$2:$O$2,0)),0))</f>
        <v>0</v>
      </c>
      <c r="G457" s="29" t="e">
        <f>ROUND((3600*F457/SUMIF($E$2:$E$521,E457,$F$2:$F$521))/VLOOKUP(A457,Operations!$A$3:$F$132,6,FALSE),0)</f>
        <v>#DIV/0!</v>
      </c>
      <c r="H457" s="28" t="e">
        <f t="shared" si="7"/>
        <v>#DIV/0!</v>
      </c>
    </row>
    <row r="458" spans="1:8" x14ac:dyDescent="0.3">
      <c r="A458" s="2" t="s">
        <v>74</v>
      </c>
      <c r="B458" s="8">
        <f>VLOOKUP(A458,Operations!$A$3:$B$132,2,TRUE)</f>
        <v>0</v>
      </c>
      <c r="C458" s="8">
        <f>VLOOKUP(A458,Operations!$A$3:$C$132,3,0)</f>
        <v>0</v>
      </c>
      <c r="D458" s="2" t="s">
        <v>152</v>
      </c>
      <c r="E458" s="2">
        <f>IFERROR(INDEX(Operations!$H$3:$K$132,MATCH(A458,Operations!$A$3:$A$132,0),MATCH(Link!D458,Operations!$H$2:$K$2,0)),"")</f>
        <v>0</v>
      </c>
      <c r="F458" t="b">
        <f>IF(E458&lt;&gt;0,IFERROR(VLOOKUP(A458,Operations!$A$3:$F$132,6,FALSE)*INDEX(Operations!$L$3:$O$132,MATCH(Link!A458,Operations!$A$3:$A$132,0),MATCH(Link!D458,Operations!$L$2:$O$2,0)),0))</f>
        <v>0</v>
      </c>
      <c r="G458" s="29" t="e">
        <f>ROUND((3600*F458/SUMIF($E$2:$E$521,E458,$F$2:$F$521))/VLOOKUP(A458,Operations!$A$3:$F$132,6,FALSE),0)</f>
        <v>#DIV/0!</v>
      </c>
      <c r="H458" s="28" t="e">
        <f t="shared" si="7"/>
        <v>#DIV/0!</v>
      </c>
    </row>
    <row r="459" spans="1:8" x14ac:dyDescent="0.3">
      <c r="A459" s="2" t="s">
        <v>75</v>
      </c>
      <c r="B459" s="8">
        <f>VLOOKUP(A459,Operations!$A$3:$B$132,2,TRUE)</f>
        <v>0</v>
      </c>
      <c r="C459" s="8">
        <f>VLOOKUP(A459,Operations!$A$3:$C$132,3,0)</f>
        <v>0</v>
      </c>
      <c r="D459" s="2" t="s">
        <v>152</v>
      </c>
      <c r="E459" s="2">
        <f>IFERROR(INDEX(Operations!$H$3:$K$132,MATCH(A459,Operations!$A$3:$A$132,0),MATCH(Link!D459,Operations!$H$2:$K$2,0)),"")</f>
        <v>0</v>
      </c>
      <c r="F459" t="b">
        <f>IF(E459&lt;&gt;0,IFERROR(VLOOKUP(A459,Operations!$A$3:$F$132,6,FALSE)*INDEX(Operations!$L$3:$O$132,MATCH(Link!A459,Operations!$A$3:$A$132,0),MATCH(Link!D459,Operations!$L$2:$O$2,0)),0))</f>
        <v>0</v>
      </c>
      <c r="G459" s="29" t="e">
        <f>ROUND((3600*F459/SUMIF($E$2:$E$521,E459,$F$2:$F$521))/VLOOKUP(A459,Operations!$A$3:$F$132,6,FALSE),0)</f>
        <v>#DIV/0!</v>
      </c>
      <c r="H459" s="28" t="e">
        <f t="shared" si="7"/>
        <v>#DIV/0!</v>
      </c>
    </row>
    <row r="460" spans="1:8" x14ac:dyDescent="0.3">
      <c r="A460" s="2" t="s">
        <v>76</v>
      </c>
      <c r="B460" s="8">
        <f>VLOOKUP(A460,Operations!$A$3:$B$132,2,TRUE)</f>
        <v>0</v>
      </c>
      <c r="C460" s="8">
        <f>VLOOKUP(A460,Operations!$A$3:$C$132,3,0)</f>
        <v>0</v>
      </c>
      <c r="D460" s="2" t="s">
        <v>152</v>
      </c>
      <c r="E460" s="2">
        <f>IFERROR(INDEX(Operations!$H$3:$K$132,MATCH(A460,Operations!$A$3:$A$132,0),MATCH(Link!D460,Operations!$H$2:$K$2,0)),"")</f>
        <v>0</v>
      </c>
      <c r="F460" t="b">
        <f>IF(E460&lt;&gt;0,IFERROR(VLOOKUP(A460,Operations!$A$3:$F$132,6,FALSE)*INDEX(Operations!$L$3:$O$132,MATCH(Link!A460,Operations!$A$3:$A$132,0),MATCH(Link!D460,Operations!$L$2:$O$2,0)),0))</f>
        <v>0</v>
      </c>
      <c r="G460" s="29" t="e">
        <f>ROUND((3600*F460/SUMIF($E$2:$E$521,E460,$F$2:$F$521))/VLOOKUP(A460,Operations!$A$3:$F$132,6,FALSE),0)</f>
        <v>#DIV/0!</v>
      </c>
      <c r="H460" s="28" t="e">
        <f t="shared" si="7"/>
        <v>#DIV/0!</v>
      </c>
    </row>
    <row r="461" spans="1:8" x14ac:dyDescent="0.3">
      <c r="A461" s="2" t="s">
        <v>77</v>
      </c>
      <c r="B461" s="8">
        <f>VLOOKUP(A461,Operations!$A$3:$B$132,2,TRUE)</f>
        <v>0</v>
      </c>
      <c r="C461" s="8">
        <f>VLOOKUP(A461,Operations!$A$3:$C$132,3,0)</f>
        <v>0</v>
      </c>
      <c r="D461" s="2" t="s">
        <v>152</v>
      </c>
      <c r="E461" s="2">
        <f>IFERROR(INDEX(Operations!$H$3:$K$132,MATCH(A461,Operations!$A$3:$A$132,0),MATCH(Link!D461,Operations!$H$2:$K$2,0)),"")</f>
        <v>0</v>
      </c>
      <c r="F461" t="b">
        <f>IF(E461&lt;&gt;0,IFERROR(VLOOKUP(A461,Operations!$A$3:$F$132,6,FALSE)*INDEX(Operations!$L$3:$O$132,MATCH(Link!A461,Operations!$A$3:$A$132,0),MATCH(Link!D461,Operations!$L$2:$O$2,0)),0))</f>
        <v>0</v>
      </c>
      <c r="G461" s="29" t="e">
        <f>ROUND((3600*F461/SUMIF($E$2:$E$521,E461,$F$2:$F$521))/VLOOKUP(A461,Operations!$A$3:$F$132,6,FALSE),0)</f>
        <v>#DIV/0!</v>
      </c>
      <c r="H461" s="28" t="e">
        <f t="shared" si="7"/>
        <v>#DIV/0!</v>
      </c>
    </row>
    <row r="462" spans="1:8" x14ac:dyDescent="0.3">
      <c r="A462" s="2" t="s">
        <v>78</v>
      </c>
      <c r="B462" s="8">
        <f>VLOOKUP(A462,Operations!$A$3:$B$132,2,TRUE)</f>
        <v>0</v>
      </c>
      <c r="C462" s="8">
        <f>VLOOKUP(A462,Operations!$A$3:$C$132,3,0)</f>
        <v>0</v>
      </c>
      <c r="D462" s="2" t="s">
        <v>152</v>
      </c>
      <c r="E462" s="2">
        <f>IFERROR(INDEX(Operations!$H$3:$K$132,MATCH(A462,Operations!$A$3:$A$132,0),MATCH(Link!D462,Operations!$H$2:$K$2,0)),"")</f>
        <v>0</v>
      </c>
      <c r="F462" t="b">
        <f>IF(E462&lt;&gt;0,IFERROR(VLOOKUP(A462,Operations!$A$3:$F$132,6,FALSE)*INDEX(Operations!$L$3:$O$132,MATCH(Link!A462,Operations!$A$3:$A$132,0),MATCH(Link!D462,Operations!$L$2:$O$2,0)),0))</f>
        <v>0</v>
      </c>
      <c r="G462" s="29" t="e">
        <f>ROUND((3600*F462/SUMIF($E$2:$E$521,E462,$F$2:$F$521))/VLOOKUP(A462,Operations!$A$3:$F$132,6,FALSE),0)</f>
        <v>#DIV/0!</v>
      </c>
      <c r="H462" s="28" t="e">
        <f t="shared" si="7"/>
        <v>#DIV/0!</v>
      </c>
    </row>
    <row r="463" spans="1:8" x14ac:dyDescent="0.3">
      <c r="A463" s="2" t="s">
        <v>79</v>
      </c>
      <c r="B463" s="8">
        <f>VLOOKUP(A463,Operations!$A$3:$B$132,2,TRUE)</f>
        <v>0</v>
      </c>
      <c r="C463" s="8">
        <f>VLOOKUP(A463,Operations!$A$3:$C$132,3,0)</f>
        <v>0</v>
      </c>
      <c r="D463" s="2" t="s">
        <v>152</v>
      </c>
      <c r="E463" s="2">
        <f>IFERROR(INDEX(Operations!$H$3:$K$132,MATCH(A463,Operations!$A$3:$A$132,0),MATCH(Link!D463,Operations!$H$2:$K$2,0)),"")</f>
        <v>0</v>
      </c>
      <c r="F463" t="b">
        <f>IF(E463&lt;&gt;0,IFERROR(VLOOKUP(A463,Operations!$A$3:$F$132,6,FALSE)*INDEX(Operations!$L$3:$O$132,MATCH(Link!A463,Operations!$A$3:$A$132,0),MATCH(Link!D463,Operations!$L$2:$O$2,0)),0))</f>
        <v>0</v>
      </c>
      <c r="G463" s="29" t="e">
        <f>ROUND((3600*F463/SUMIF($E$2:$E$521,E463,$F$2:$F$521))/VLOOKUP(A463,Operations!$A$3:$F$132,6,FALSE),0)</f>
        <v>#DIV/0!</v>
      </c>
      <c r="H463" s="28" t="e">
        <f t="shared" si="7"/>
        <v>#DIV/0!</v>
      </c>
    </row>
    <row r="464" spans="1:8" x14ac:dyDescent="0.3">
      <c r="A464" s="2" t="s">
        <v>80</v>
      </c>
      <c r="B464" s="8">
        <f>VLOOKUP(A464,Operations!$A$3:$B$132,2,TRUE)</f>
        <v>0</v>
      </c>
      <c r="C464" s="8">
        <f>VLOOKUP(A464,Operations!$A$3:$C$132,3,0)</f>
        <v>0</v>
      </c>
      <c r="D464" s="2" t="s">
        <v>152</v>
      </c>
      <c r="E464" s="2">
        <f>IFERROR(INDEX(Operations!$H$3:$K$132,MATCH(A464,Operations!$A$3:$A$132,0),MATCH(Link!D464,Operations!$H$2:$K$2,0)),"")</f>
        <v>0</v>
      </c>
      <c r="F464" t="b">
        <f>IF(E464&lt;&gt;0,IFERROR(VLOOKUP(A464,Operations!$A$3:$F$132,6,FALSE)*INDEX(Operations!$L$3:$O$132,MATCH(Link!A464,Operations!$A$3:$A$132,0),MATCH(Link!D464,Operations!$L$2:$O$2,0)),0))</f>
        <v>0</v>
      </c>
      <c r="G464" s="29" t="e">
        <f>ROUND((3600*F464/SUMIF($E$2:$E$521,E464,$F$2:$F$521))/VLOOKUP(A464,Operations!$A$3:$F$132,6,FALSE),0)</f>
        <v>#DIV/0!</v>
      </c>
      <c r="H464" s="28" t="e">
        <f t="shared" si="7"/>
        <v>#DIV/0!</v>
      </c>
    </row>
    <row r="465" spans="1:8" x14ac:dyDescent="0.3">
      <c r="A465" s="2" t="s">
        <v>81</v>
      </c>
      <c r="B465" s="8">
        <f>VLOOKUP(A465,Operations!$A$3:$B$132,2,TRUE)</f>
        <v>0</v>
      </c>
      <c r="C465" s="8">
        <f>VLOOKUP(A465,Operations!$A$3:$C$132,3,0)</f>
        <v>0</v>
      </c>
      <c r="D465" s="2" t="s">
        <v>152</v>
      </c>
      <c r="E465" s="2">
        <f>IFERROR(INDEX(Operations!$H$3:$K$132,MATCH(A465,Operations!$A$3:$A$132,0),MATCH(Link!D465,Operations!$H$2:$K$2,0)),"")</f>
        <v>0</v>
      </c>
      <c r="F465" t="b">
        <f>IF(E465&lt;&gt;0,IFERROR(VLOOKUP(A465,Operations!$A$3:$F$132,6,FALSE)*INDEX(Operations!$L$3:$O$132,MATCH(Link!A465,Operations!$A$3:$A$132,0),MATCH(Link!D465,Operations!$L$2:$O$2,0)),0))</f>
        <v>0</v>
      </c>
      <c r="G465" s="29" t="e">
        <f>ROUND((3600*F465/SUMIF($E$2:$E$521,E465,$F$2:$F$521))/VLOOKUP(A465,Operations!$A$3:$F$132,6,FALSE),0)</f>
        <v>#DIV/0!</v>
      </c>
      <c r="H465" s="28" t="e">
        <f t="shared" si="7"/>
        <v>#DIV/0!</v>
      </c>
    </row>
    <row r="466" spans="1:8" x14ac:dyDescent="0.3">
      <c r="A466" s="2" t="s">
        <v>82</v>
      </c>
      <c r="B466" s="8">
        <f>VLOOKUP(A466,Operations!$A$3:$B$132,2,TRUE)</f>
        <v>0</v>
      </c>
      <c r="C466" s="8">
        <f>VLOOKUP(A466,Operations!$A$3:$C$132,3,0)</f>
        <v>0</v>
      </c>
      <c r="D466" s="2" t="s">
        <v>152</v>
      </c>
      <c r="E466" s="2">
        <f>IFERROR(INDEX(Operations!$H$3:$K$132,MATCH(A466,Operations!$A$3:$A$132,0),MATCH(Link!D466,Operations!$H$2:$K$2,0)),"")</f>
        <v>0</v>
      </c>
      <c r="F466" t="b">
        <f>IF(E466&lt;&gt;0,IFERROR(VLOOKUP(A466,Operations!$A$3:$F$132,6,FALSE)*INDEX(Operations!$L$3:$O$132,MATCH(Link!A466,Operations!$A$3:$A$132,0),MATCH(Link!D466,Operations!$L$2:$O$2,0)),0))</f>
        <v>0</v>
      </c>
      <c r="G466" s="29" t="e">
        <f>ROUND((3600*F466/SUMIF($E$2:$E$521,E466,$F$2:$F$521))/VLOOKUP(A466,Operations!$A$3:$F$132,6,FALSE),0)</f>
        <v>#DIV/0!</v>
      </c>
      <c r="H466" s="28" t="e">
        <f t="shared" si="7"/>
        <v>#DIV/0!</v>
      </c>
    </row>
    <row r="467" spans="1:8" x14ac:dyDescent="0.3">
      <c r="A467" s="2" t="s">
        <v>83</v>
      </c>
      <c r="B467" s="8">
        <f>VLOOKUP(A467,Operations!$A$3:$B$132,2,TRUE)</f>
        <v>0</v>
      </c>
      <c r="C467" s="8">
        <f>VLOOKUP(A467,Operations!$A$3:$C$132,3,0)</f>
        <v>0</v>
      </c>
      <c r="D467" s="2" t="s">
        <v>152</v>
      </c>
      <c r="E467" s="2">
        <f>IFERROR(INDEX(Operations!$H$3:$K$132,MATCH(A467,Operations!$A$3:$A$132,0),MATCH(Link!D467,Operations!$H$2:$K$2,0)),"")</f>
        <v>0</v>
      </c>
      <c r="F467" t="b">
        <f>IF(E467&lt;&gt;0,IFERROR(VLOOKUP(A467,Operations!$A$3:$F$132,6,FALSE)*INDEX(Operations!$L$3:$O$132,MATCH(Link!A467,Operations!$A$3:$A$132,0),MATCH(Link!D467,Operations!$L$2:$O$2,0)),0))</f>
        <v>0</v>
      </c>
      <c r="G467" s="29" t="e">
        <f>ROUND((3600*F467/SUMIF($E$2:$E$521,E467,$F$2:$F$521))/VLOOKUP(A467,Operations!$A$3:$F$132,6,FALSE),0)</f>
        <v>#DIV/0!</v>
      </c>
      <c r="H467" s="28" t="e">
        <f t="shared" si="7"/>
        <v>#DIV/0!</v>
      </c>
    </row>
    <row r="468" spans="1:8" x14ac:dyDescent="0.3">
      <c r="A468" s="2" t="s">
        <v>84</v>
      </c>
      <c r="B468" s="8">
        <f>VLOOKUP(A468,Operations!$A$3:$B$132,2,TRUE)</f>
        <v>0</v>
      </c>
      <c r="C468" s="8">
        <f>VLOOKUP(A468,Operations!$A$3:$C$132,3,0)</f>
        <v>0</v>
      </c>
      <c r="D468" s="2" t="s">
        <v>152</v>
      </c>
      <c r="E468" s="2">
        <f>IFERROR(INDEX(Operations!$H$3:$K$132,MATCH(A468,Operations!$A$3:$A$132,0),MATCH(Link!D468,Operations!$H$2:$K$2,0)),"")</f>
        <v>0</v>
      </c>
      <c r="F468" t="b">
        <f>IF(E468&lt;&gt;0,IFERROR(VLOOKUP(A468,Operations!$A$3:$F$132,6,FALSE)*INDEX(Operations!$L$3:$O$132,MATCH(Link!A468,Operations!$A$3:$A$132,0),MATCH(Link!D468,Operations!$L$2:$O$2,0)),0))</f>
        <v>0</v>
      </c>
      <c r="G468" s="29" t="e">
        <f>ROUND((3600*F468/SUMIF($E$2:$E$521,E468,$F$2:$F$521))/VLOOKUP(A468,Operations!$A$3:$F$132,6,FALSE),0)</f>
        <v>#DIV/0!</v>
      </c>
      <c r="H468" s="28" t="e">
        <f t="shared" si="7"/>
        <v>#DIV/0!</v>
      </c>
    </row>
    <row r="469" spans="1:8" x14ac:dyDescent="0.3">
      <c r="A469" s="2" t="s">
        <v>85</v>
      </c>
      <c r="B469" s="8">
        <f>VLOOKUP(A469,Operations!$A$3:$B$132,2,TRUE)</f>
        <v>0</v>
      </c>
      <c r="C469" s="8">
        <f>VLOOKUP(A469,Operations!$A$3:$C$132,3,0)</f>
        <v>0</v>
      </c>
      <c r="D469" s="2" t="s">
        <v>152</v>
      </c>
      <c r="E469" s="2">
        <f>IFERROR(INDEX(Operations!$H$3:$K$132,MATCH(A469,Operations!$A$3:$A$132,0),MATCH(Link!D469,Operations!$H$2:$K$2,0)),"")</f>
        <v>0</v>
      </c>
      <c r="F469" t="b">
        <f>IF(E469&lt;&gt;0,IFERROR(VLOOKUP(A469,Operations!$A$3:$F$132,6,FALSE)*INDEX(Operations!$L$3:$O$132,MATCH(Link!A469,Operations!$A$3:$A$132,0),MATCH(Link!D469,Operations!$L$2:$O$2,0)),0))</f>
        <v>0</v>
      </c>
      <c r="G469" s="29" t="e">
        <f>ROUND((3600*F469/SUMIF($E$2:$E$521,E469,$F$2:$F$521))/VLOOKUP(A469,Operations!$A$3:$F$132,6,FALSE),0)</f>
        <v>#DIV/0!</v>
      </c>
      <c r="H469" s="28" t="e">
        <f t="shared" si="7"/>
        <v>#DIV/0!</v>
      </c>
    </row>
    <row r="470" spans="1:8" x14ac:dyDescent="0.3">
      <c r="A470" s="2" t="s">
        <v>86</v>
      </c>
      <c r="B470" s="8">
        <f>VLOOKUP(A470,Operations!$A$3:$B$132,2,TRUE)</f>
        <v>0</v>
      </c>
      <c r="C470" s="8">
        <f>VLOOKUP(A470,Operations!$A$3:$C$132,3,0)</f>
        <v>0</v>
      </c>
      <c r="D470" s="2" t="s">
        <v>152</v>
      </c>
      <c r="E470" s="2">
        <f>IFERROR(INDEX(Operations!$H$3:$K$132,MATCH(A470,Operations!$A$3:$A$132,0),MATCH(Link!D470,Operations!$H$2:$K$2,0)),"")</f>
        <v>0</v>
      </c>
      <c r="F470" t="b">
        <f>IF(E470&lt;&gt;0,IFERROR(VLOOKUP(A470,Operations!$A$3:$F$132,6,FALSE)*INDEX(Operations!$L$3:$O$132,MATCH(Link!A470,Operations!$A$3:$A$132,0),MATCH(Link!D470,Operations!$L$2:$O$2,0)),0))</f>
        <v>0</v>
      </c>
      <c r="G470" s="29" t="e">
        <f>ROUND((3600*F470/SUMIF($E$2:$E$521,E470,$F$2:$F$521))/VLOOKUP(A470,Operations!$A$3:$F$132,6,FALSE),0)</f>
        <v>#DIV/0!</v>
      </c>
      <c r="H470" s="28" t="e">
        <f t="shared" si="7"/>
        <v>#DIV/0!</v>
      </c>
    </row>
    <row r="471" spans="1:8" x14ac:dyDescent="0.3">
      <c r="A471" s="2" t="s">
        <v>87</v>
      </c>
      <c r="B471" s="8">
        <f>VLOOKUP(A471,Operations!$A$3:$B$132,2,TRUE)</f>
        <v>0</v>
      </c>
      <c r="C471" s="8">
        <f>VLOOKUP(A471,Operations!$A$3:$C$132,3,0)</f>
        <v>0</v>
      </c>
      <c r="D471" s="2" t="s">
        <v>152</v>
      </c>
      <c r="E471" s="2">
        <f>IFERROR(INDEX(Operations!$H$3:$K$132,MATCH(A471,Operations!$A$3:$A$132,0),MATCH(Link!D471,Operations!$H$2:$K$2,0)),"")</f>
        <v>0</v>
      </c>
      <c r="F471" t="b">
        <f>IF(E471&lt;&gt;0,IFERROR(VLOOKUP(A471,Operations!$A$3:$F$132,6,FALSE)*INDEX(Operations!$L$3:$O$132,MATCH(Link!A471,Operations!$A$3:$A$132,0),MATCH(Link!D471,Operations!$L$2:$O$2,0)),0))</f>
        <v>0</v>
      </c>
      <c r="G471" s="29" t="e">
        <f>ROUND((3600*F471/SUMIF($E$2:$E$521,E471,$F$2:$F$521))/VLOOKUP(A471,Operations!$A$3:$F$132,6,FALSE),0)</f>
        <v>#DIV/0!</v>
      </c>
      <c r="H471" s="28" t="e">
        <f t="shared" si="7"/>
        <v>#DIV/0!</v>
      </c>
    </row>
    <row r="472" spans="1:8" x14ac:dyDescent="0.3">
      <c r="A472" s="2" t="s">
        <v>88</v>
      </c>
      <c r="B472" s="8">
        <f>VLOOKUP(A472,Operations!$A$3:$B$132,2,TRUE)</f>
        <v>0</v>
      </c>
      <c r="C472" s="8">
        <f>VLOOKUP(A472,Operations!$A$3:$C$132,3,0)</f>
        <v>0</v>
      </c>
      <c r="D472" s="2" t="s">
        <v>152</v>
      </c>
      <c r="E472" s="2">
        <f>IFERROR(INDEX(Operations!$H$3:$K$132,MATCH(A472,Operations!$A$3:$A$132,0),MATCH(Link!D472,Operations!$H$2:$K$2,0)),"")</f>
        <v>0</v>
      </c>
      <c r="F472" t="b">
        <f>IF(E472&lt;&gt;0,IFERROR(VLOOKUP(A472,Operations!$A$3:$F$132,6,FALSE)*INDEX(Operations!$L$3:$O$132,MATCH(Link!A472,Operations!$A$3:$A$132,0),MATCH(Link!D472,Operations!$L$2:$O$2,0)),0))</f>
        <v>0</v>
      </c>
      <c r="G472" s="29" t="e">
        <f>ROUND((3600*F472/SUMIF($E$2:$E$521,E472,$F$2:$F$521))/VLOOKUP(A472,Operations!$A$3:$F$132,6,FALSE),0)</f>
        <v>#DIV/0!</v>
      </c>
      <c r="H472" s="28" t="e">
        <f t="shared" si="7"/>
        <v>#DIV/0!</v>
      </c>
    </row>
    <row r="473" spans="1:8" x14ac:dyDescent="0.3">
      <c r="A473" s="2" t="s">
        <v>89</v>
      </c>
      <c r="B473" s="8">
        <f>VLOOKUP(A473,Operations!$A$3:$B$132,2,TRUE)</f>
        <v>0</v>
      </c>
      <c r="C473" s="8">
        <f>VLOOKUP(A473,Operations!$A$3:$C$132,3,0)</f>
        <v>0</v>
      </c>
      <c r="D473" s="2" t="s">
        <v>152</v>
      </c>
      <c r="E473" s="2">
        <f>IFERROR(INDEX(Operations!$H$3:$K$132,MATCH(A473,Operations!$A$3:$A$132,0),MATCH(Link!D473,Operations!$H$2:$K$2,0)),"")</f>
        <v>0</v>
      </c>
      <c r="F473" t="b">
        <f>IF(E473&lt;&gt;0,IFERROR(VLOOKUP(A473,Operations!$A$3:$F$132,6,FALSE)*INDEX(Operations!$L$3:$O$132,MATCH(Link!A473,Operations!$A$3:$A$132,0),MATCH(Link!D473,Operations!$L$2:$O$2,0)),0))</f>
        <v>0</v>
      </c>
      <c r="G473" s="29" t="e">
        <f>ROUND((3600*F473/SUMIF($E$2:$E$521,E473,$F$2:$F$521))/VLOOKUP(A473,Operations!$A$3:$F$132,6,FALSE),0)</f>
        <v>#DIV/0!</v>
      </c>
      <c r="H473" s="28" t="e">
        <f t="shared" si="7"/>
        <v>#DIV/0!</v>
      </c>
    </row>
    <row r="474" spans="1:8" x14ac:dyDescent="0.3">
      <c r="A474" s="2" t="s">
        <v>90</v>
      </c>
      <c r="B474" s="8">
        <f>VLOOKUP(A474,Operations!$A$3:$B$132,2,TRUE)</f>
        <v>0</v>
      </c>
      <c r="C474" s="8">
        <f>VLOOKUP(A474,Operations!$A$3:$C$132,3,0)</f>
        <v>0</v>
      </c>
      <c r="D474" s="2" t="s">
        <v>152</v>
      </c>
      <c r="E474" s="2">
        <f>IFERROR(INDEX(Operations!$H$3:$K$132,MATCH(A474,Operations!$A$3:$A$132,0),MATCH(Link!D474,Operations!$H$2:$K$2,0)),"")</f>
        <v>0</v>
      </c>
      <c r="F474" t="b">
        <f>IF(E474&lt;&gt;0,IFERROR(VLOOKUP(A474,Operations!$A$3:$F$132,6,FALSE)*INDEX(Operations!$L$3:$O$132,MATCH(Link!A474,Operations!$A$3:$A$132,0),MATCH(Link!D474,Operations!$L$2:$O$2,0)),0))</f>
        <v>0</v>
      </c>
      <c r="G474" s="29" t="e">
        <f>ROUND((3600*F474/SUMIF($E$2:$E$521,E474,$F$2:$F$521))/VLOOKUP(A474,Operations!$A$3:$F$132,6,FALSE),0)</f>
        <v>#DIV/0!</v>
      </c>
      <c r="H474" s="28" t="e">
        <f t="shared" si="7"/>
        <v>#DIV/0!</v>
      </c>
    </row>
    <row r="475" spans="1:8" x14ac:dyDescent="0.3">
      <c r="A475" s="2" t="s">
        <v>91</v>
      </c>
      <c r="B475" s="8">
        <f>VLOOKUP(A475,Operations!$A$3:$B$132,2,TRUE)</f>
        <v>0</v>
      </c>
      <c r="C475" s="8">
        <f>VLOOKUP(A475,Operations!$A$3:$C$132,3,0)</f>
        <v>0</v>
      </c>
      <c r="D475" s="2" t="s">
        <v>152</v>
      </c>
      <c r="E475" s="2">
        <f>IFERROR(INDEX(Operations!$H$3:$K$132,MATCH(A475,Operations!$A$3:$A$132,0),MATCH(Link!D475,Operations!$H$2:$K$2,0)),"")</f>
        <v>0</v>
      </c>
      <c r="F475" t="b">
        <f>IF(E475&lt;&gt;0,IFERROR(VLOOKUP(A475,Operations!$A$3:$F$132,6,FALSE)*INDEX(Operations!$L$3:$O$132,MATCH(Link!A475,Operations!$A$3:$A$132,0),MATCH(Link!D475,Operations!$L$2:$O$2,0)),0))</f>
        <v>0</v>
      </c>
      <c r="G475" s="29" t="e">
        <f>ROUND((3600*F475/SUMIF($E$2:$E$521,E475,$F$2:$F$521))/VLOOKUP(A475,Operations!$A$3:$F$132,6,FALSE),0)</f>
        <v>#DIV/0!</v>
      </c>
      <c r="H475" s="28" t="e">
        <f t="shared" si="7"/>
        <v>#DIV/0!</v>
      </c>
    </row>
    <row r="476" spans="1:8" x14ac:dyDescent="0.3">
      <c r="A476" s="2" t="s">
        <v>92</v>
      </c>
      <c r="B476" s="8">
        <f>VLOOKUP(A476,Operations!$A$3:$B$132,2,TRUE)</f>
        <v>0</v>
      </c>
      <c r="C476" s="8">
        <f>VLOOKUP(A476,Operations!$A$3:$C$132,3,0)</f>
        <v>0</v>
      </c>
      <c r="D476" s="2" t="s">
        <v>152</v>
      </c>
      <c r="E476" s="2">
        <f>IFERROR(INDEX(Operations!$H$3:$K$132,MATCH(A476,Operations!$A$3:$A$132,0),MATCH(Link!D476,Operations!$H$2:$K$2,0)),"")</f>
        <v>0</v>
      </c>
      <c r="F476" t="b">
        <f>IF(E476&lt;&gt;0,IFERROR(VLOOKUP(A476,Operations!$A$3:$F$132,6,FALSE)*INDEX(Operations!$L$3:$O$132,MATCH(Link!A476,Operations!$A$3:$A$132,0),MATCH(Link!D476,Operations!$L$2:$O$2,0)),0))</f>
        <v>0</v>
      </c>
      <c r="G476" s="29" t="e">
        <f>ROUND((3600*F476/SUMIF($E$2:$E$521,E476,$F$2:$F$521))/VLOOKUP(A476,Operations!$A$3:$F$132,6,FALSE),0)</f>
        <v>#DIV/0!</v>
      </c>
      <c r="H476" s="28" t="e">
        <f t="shared" si="7"/>
        <v>#DIV/0!</v>
      </c>
    </row>
    <row r="477" spans="1:8" x14ac:dyDescent="0.3">
      <c r="A477" s="2" t="s">
        <v>93</v>
      </c>
      <c r="B477" s="8">
        <f>VLOOKUP(A477,Operations!$A$3:$B$132,2,TRUE)</f>
        <v>0</v>
      </c>
      <c r="C477" s="8">
        <f>VLOOKUP(A477,Operations!$A$3:$C$132,3,0)</f>
        <v>0</v>
      </c>
      <c r="D477" s="2" t="s">
        <v>152</v>
      </c>
      <c r="E477" s="2">
        <f>IFERROR(INDEX(Operations!$H$3:$K$132,MATCH(A477,Operations!$A$3:$A$132,0),MATCH(Link!D477,Operations!$H$2:$K$2,0)),"")</f>
        <v>0</v>
      </c>
      <c r="F477" t="b">
        <f>IF(E477&lt;&gt;0,IFERROR(VLOOKUP(A477,Operations!$A$3:$F$132,6,FALSE)*INDEX(Operations!$L$3:$O$132,MATCH(Link!A477,Operations!$A$3:$A$132,0),MATCH(Link!D477,Operations!$L$2:$O$2,0)),0))</f>
        <v>0</v>
      </c>
      <c r="G477" s="29" t="e">
        <f>ROUND((3600*F477/SUMIF($E$2:$E$521,E477,$F$2:$F$521))/VLOOKUP(A477,Operations!$A$3:$F$132,6,FALSE),0)</f>
        <v>#DIV/0!</v>
      </c>
      <c r="H477" s="28" t="e">
        <f t="shared" si="7"/>
        <v>#DIV/0!</v>
      </c>
    </row>
    <row r="478" spans="1:8" x14ac:dyDescent="0.3">
      <c r="A478" s="2" t="s">
        <v>94</v>
      </c>
      <c r="B478" s="8">
        <f>VLOOKUP(A478,Operations!$A$3:$B$132,2,TRUE)</f>
        <v>0</v>
      </c>
      <c r="C478" s="8">
        <f>VLOOKUP(A478,Operations!$A$3:$C$132,3,0)</f>
        <v>0</v>
      </c>
      <c r="D478" s="2" t="s">
        <v>152</v>
      </c>
      <c r="E478" s="2">
        <f>IFERROR(INDEX(Operations!$H$3:$K$132,MATCH(A478,Operations!$A$3:$A$132,0),MATCH(Link!D478,Operations!$H$2:$K$2,0)),"")</f>
        <v>0</v>
      </c>
      <c r="F478" t="b">
        <f>IF(E478&lt;&gt;0,IFERROR(VLOOKUP(A478,Operations!$A$3:$F$132,6,FALSE)*INDEX(Operations!$L$3:$O$132,MATCH(Link!A478,Operations!$A$3:$A$132,0),MATCH(Link!D478,Operations!$L$2:$O$2,0)),0))</f>
        <v>0</v>
      </c>
      <c r="G478" s="29" t="e">
        <f>ROUND((3600*F478/SUMIF($E$2:$E$521,E478,$F$2:$F$521))/VLOOKUP(A478,Operations!$A$3:$F$132,6,FALSE),0)</f>
        <v>#DIV/0!</v>
      </c>
      <c r="H478" s="28" t="e">
        <f t="shared" si="7"/>
        <v>#DIV/0!</v>
      </c>
    </row>
    <row r="479" spans="1:8" x14ac:dyDescent="0.3">
      <c r="A479" s="2" t="s">
        <v>95</v>
      </c>
      <c r="B479" s="8">
        <f>VLOOKUP(A479,Operations!$A$3:$B$132,2,TRUE)</f>
        <v>0</v>
      </c>
      <c r="C479" s="8">
        <f>VLOOKUP(A479,Operations!$A$3:$C$132,3,0)</f>
        <v>0</v>
      </c>
      <c r="D479" s="2" t="s">
        <v>152</v>
      </c>
      <c r="E479" s="2">
        <f>IFERROR(INDEX(Operations!$H$3:$K$132,MATCH(A479,Operations!$A$3:$A$132,0),MATCH(Link!D479,Operations!$H$2:$K$2,0)),"")</f>
        <v>0</v>
      </c>
      <c r="F479" t="b">
        <f>IF(E479&lt;&gt;0,IFERROR(VLOOKUP(A479,Operations!$A$3:$F$132,6,FALSE)*INDEX(Operations!$L$3:$O$132,MATCH(Link!A479,Operations!$A$3:$A$132,0),MATCH(Link!D479,Operations!$L$2:$O$2,0)),0))</f>
        <v>0</v>
      </c>
      <c r="G479" s="29" t="e">
        <f>ROUND((3600*F479/SUMIF($E$2:$E$521,E479,$F$2:$F$521))/VLOOKUP(A479,Operations!$A$3:$F$132,6,FALSE),0)</f>
        <v>#DIV/0!</v>
      </c>
      <c r="H479" s="28" t="e">
        <f t="shared" si="7"/>
        <v>#DIV/0!</v>
      </c>
    </row>
    <row r="480" spans="1:8" x14ac:dyDescent="0.3">
      <c r="A480" s="2" t="s">
        <v>96</v>
      </c>
      <c r="B480" s="8">
        <f>VLOOKUP(A480,Operations!$A$3:$B$132,2,TRUE)</f>
        <v>0</v>
      </c>
      <c r="C480" s="8">
        <f>VLOOKUP(A480,Operations!$A$3:$C$132,3,0)</f>
        <v>0</v>
      </c>
      <c r="D480" s="2" t="s">
        <v>152</v>
      </c>
      <c r="E480" s="2">
        <f>IFERROR(INDEX(Operations!$H$3:$K$132,MATCH(A480,Operations!$A$3:$A$132,0),MATCH(Link!D480,Operations!$H$2:$K$2,0)),"")</f>
        <v>0</v>
      </c>
      <c r="F480" t="b">
        <f>IF(E480&lt;&gt;0,IFERROR(VLOOKUP(A480,Operations!$A$3:$F$132,6,FALSE)*INDEX(Operations!$L$3:$O$132,MATCH(Link!A480,Operations!$A$3:$A$132,0),MATCH(Link!D480,Operations!$L$2:$O$2,0)),0))</f>
        <v>0</v>
      </c>
      <c r="G480" s="29" t="e">
        <f>ROUND((3600*F480/SUMIF($E$2:$E$521,E480,$F$2:$F$521))/VLOOKUP(A480,Operations!$A$3:$F$132,6,FALSE),0)</f>
        <v>#DIV/0!</v>
      </c>
      <c r="H480" s="28" t="e">
        <f t="shared" si="7"/>
        <v>#DIV/0!</v>
      </c>
    </row>
    <row r="481" spans="1:8" x14ac:dyDescent="0.3">
      <c r="A481" s="2" t="s">
        <v>97</v>
      </c>
      <c r="B481" s="8">
        <f>VLOOKUP(A481,Operations!$A$3:$B$132,2,TRUE)</f>
        <v>0</v>
      </c>
      <c r="C481" s="8">
        <f>VLOOKUP(A481,Operations!$A$3:$C$132,3,0)</f>
        <v>0</v>
      </c>
      <c r="D481" s="2" t="s">
        <v>152</v>
      </c>
      <c r="E481" s="2">
        <f>IFERROR(INDEX(Operations!$H$3:$K$132,MATCH(A481,Operations!$A$3:$A$132,0),MATCH(Link!D481,Operations!$H$2:$K$2,0)),"")</f>
        <v>0</v>
      </c>
      <c r="F481" t="b">
        <f>IF(E481&lt;&gt;0,IFERROR(VLOOKUP(A481,Operations!$A$3:$F$132,6,FALSE)*INDEX(Operations!$L$3:$O$132,MATCH(Link!A481,Operations!$A$3:$A$132,0),MATCH(Link!D481,Operations!$L$2:$O$2,0)),0))</f>
        <v>0</v>
      </c>
      <c r="G481" s="29" t="e">
        <f>ROUND((3600*F481/SUMIF($E$2:$E$521,E481,$F$2:$F$521))/VLOOKUP(A481,Operations!$A$3:$F$132,6,FALSE),0)</f>
        <v>#DIV/0!</v>
      </c>
      <c r="H481" s="28" t="e">
        <f t="shared" si="7"/>
        <v>#DIV/0!</v>
      </c>
    </row>
    <row r="482" spans="1:8" x14ac:dyDescent="0.3">
      <c r="A482" s="2" t="s">
        <v>98</v>
      </c>
      <c r="B482" s="8">
        <f>VLOOKUP(A482,Operations!$A$3:$B$132,2,TRUE)</f>
        <v>0</v>
      </c>
      <c r="C482" s="8">
        <f>VLOOKUP(A482,Operations!$A$3:$C$132,3,0)</f>
        <v>0</v>
      </c>
      <c r="D482" s="2" t="s">
        <v>152</v>
      </c>
      <c r="E482" s="2">
        <f>IFERROR(INDEX(Operations!$H$3:$K$132,MATCH(A482,Operations!$A$3:$A$132,0),MATCH(Link!D482,Operations!$H$2:$K$2,0)),"")</f>
        <v>0</v>
      </c>
      <c r="F482" t="b">
        <f>IF(E482&lt;&gt;0,IFERROR(VLOOKUP(A482,Operations!$A$3:$F$132,6,FALSE)*INDEX(Operations!$L$3:$O$132,MATCH(Link!A482,Operations!$A$3:$A$132,0),MATCH(Link!D482,Operations!$L$2:$O$2,0)),0))</f>
        <v>0</v>
      </c>
      <c r="G482" s="29" t="e">
        <f>ROUND((3600*F482/SUMIF($E$2:$E$521,E482,$F$2:$F$521))/VLOOKUP(A482,Operations!$A$3:$F$132,6,FALSE),0)</f>
        <v>#DIV/0!</v>
      </c>
      <c r="H482" s="28" t="e">
        <f t="shared" si="7"/>
        <v>#DIV/0!</v>
      </c>
    </row>
    <row r="483" spans="1:8" x14ac:dyDescent="0.3">
      <c r="A483" s="2" t="s">
        <v>99</v>
      </c>
      <c r="B483" s="8">
        <f>VLOOKUP(A483,Operations!$A$3:$B$132,2,TRUE)</f>
        <v>0</v>
      </c>
      <c r="C483" s="8">
        <f>VLOOKUP(A483,Operations!$A$3:$C$132,3,0)</f>
        <v>0</v>
      </c>
      <c r="D483" s="2" t="s">
        <v>152</v>
      </c>
      <c r="E483" s="2">
        <f>IFERROR(INDEX(Operations!$H$3:$K$132,MATCH(A483,Operations!$A$3:$A$132,0),MATCH(Link!D483,Operations!$H$2:$K$2,0)),"")</f>
        <v>0</v>
      </c>
      <c r="F483" t="b">
        <f>IF(E483&lt;&gt;0,IFERROR(VLOOKUP(A483,Operations!$A$3:$F$132,6,FALSE)*INDEX(Operations!$L$3:$O$132,MATCH(Link!A483,Operations!$A$3:$A$132,0),MATCH(Link!D483,Operations!$L$2:$O$2,0)),0))</f>
        <v>0</v>
      </c>
      <c r="G483" s="29" t="e">
        <f>ROUND((3600*F483/SUMIF($E$2:$E$521,E483,$F$2:$F$521))/VLOOKUP(A483,Operations!$A$3:$F$132,6,FALSE),0)</f>
        <v>#DIV/0!</v>
      </c>
      <c r="H483" s="28" t="e">
        <f t="shared" si="7"/>
        <v>#DIV/0!</v>
      </c>
    </row>
    <row r="484" spans="1:8" x14ac:dyDescent="0.3">
      <c r="A484" s="2" t="s">
        <v>100</v>
      </c>
      <c r="B484" s="8">
        <f>VLOOKUP(A484,Operations!$A$3:$B$132,2,TRUE)</f>
        <v>0</v>
      </c>
      <c r="C484" s="8">
        <f>VLOOKUP(A484,Operations!$A$3:$C$132,3,0)</f>
        <v>0</v>
      </c>
      <c r="D484" s="2" t="s">
        <v>152</v>
      </c>
      <c r="E484" s="2">
        <f>IFERROR(INDEX(Operations!$H$3:$K$132,MATCH(A484,Operations!$A$3:$A$132,0),MATCH(Link!D484,Operations!$H$2:$K$2,0)),"")</f>
        <v>0</v>
      </c>
      <c r="F484" t="b">
        <f>IF(E484&lt;&gt;0,IFERROR(VLOOKUP(A484,Operations!$A$3:$F$132,6,FALSE)*INDEX(Operations!$L$3:$O$132,MATCH(Link!A484,Operations!$A$3:$A$132,0),MATCH(Link!D484,Operations!$L$2:$O$2,0)),0))</f>
        <v>0</v>
      </c>
      <c r="G484" s="29" t="e">
        <f>ROUND((3600*F484/SUMIF($E$2:$E$521,E484,$F$2:$F$521))/VLOOKUP(A484,Operations!$A$3:$F$132,6,FALSE),0)</f>
        <v>#DIV/0!</v>
      </c>
      <c r="H484" s="28" t="e">
        <f t="shared" si="7"/>
        <v>#DIV/0!</v>
      </c>
    </row>
    <row r="485" spans="1:8" x14ac:dyDescent="0.3">
      <c r="A485" s="2" t="s">
        <v>101</v>
      </c>
      <c r="B485" s="8">
        <f>VLOOKUP(A485,Operations!$A$3:$B$132,2,TRUE)</f>
        <v>0</v>
      </c>
      <c r="C485" s="8">
        <f>VLOOKUP(A485,Operations!$A$3:$C$132,3,0)</f>
        <v>0</v>
      </c>
      <c r="D485" s="2" t="s">
        <v>152</v>
      </c>
      <c r="E485" s="2">
        <f>IFERROR(INDEX(Operations!$H$3:$K$132,MATCH(A485,Operations!$A$3:$A$132,0),MATCH(Link!D485,Operations!$H$2:$K$2,0)),"")</f>
        <v>0</v>
      </c>
      <c r="F485" t="b">
        <f>IF(E485&lt;&gt;0,IFERROR(VLOOKUP(A485,Operations!$A$3:$F$132,6,FALSE)*INDEX(Operations!$L$3:$O$132,MATCH(Link!A485,Operations!$A$3:$A$132,0),MATCH(Link!D485,Operations!$L$2:$O$2,0)),0))</f>
        <v>0</v>
      </c>
      <c r="G485" s="29" t="e">
        <f>ROUND((3600*F485/SUMIF($E$2:$E$521,E485,$F$2:$F$521))/VLOOKUP(A485,Operations!$A$3:$F$132,6,FALSE),0)</f>
        <v>#DIV/0!</v>
      </c>
      <c r="H485" s="28" t="e">
        <f t="shared" si="7"/>
        <v>#DIV/0!</v>
      </c>
    </row>
    <row r="486" spans="1:8" x14ac:dyDescent="0.3">
      <c r="A486" s="2" t="s">
        <v>102</v>
      </c>
      <c r="B486" s="8">
        <f>VLOOKUP(A486,Operations!$A$3:$B$132,2,TRUE)</f>
        <v>0</v>
      </c>
      <c r="C486" s="8">
        <f>VLOOKUP(A486,Operations!$A$3:$C$132,3,0)</f>
        <v>0</v>
      </c>
      <c r="D486" s="2" t="s">
        <v>152</v>
      </c>
      <c r="E486" s="2">
        <f>IFERROR(INDEX(Operations!$H$3:$K$132,MATCH(A486,Operations!$A$3:$A$132,0),MATCH(Link!D486,Operations!$H$2:$K$2,0)),"")</f>
        <v>0</v>
      </c>
      <c r="F486" t="b">
        <f>IF(E486&lt;&gt;0,IFERROR(VLOOKUP(A486,Operations!$A$3:$F$132,6,FALSE)*INDEX(Operations!$L$3:$O$132,MATCH(Link!A486,Operations!$A$3:$A$132,0),MATCH(Link!D486,Operations!$L$2:$O$2,0)),0))</f>
        <v>0</v>
      </c>
      <c r="G486" s="29" t="e">
        <f>ROUND((3600*F486/SUMIF($E$2:$E$521,E486,$F$2:$F$521))/VLOOKUP(A486,Operations!$A$3:$F$132,6,FALSE),0)</f>
        <v>#DIV/0!</v>
      </c>
      <c r="H486" s="28" t="e">
        <f t="shared" si="7"/>
        <v>#DIV/0!</v>
      </c>
    </row>
    <row r="487" spans="1:8" x14ac:dyDescent="0.3">
      <c r="A487" s="2" t="s">
        <v>103</v>
      </c>
      <c r="B487" s="8">
        <f>VLOOKUP(A487,Operations!$A$3:$B$132,2,TRUE)</f>
        <v>0</v>
      </c>
      <c r="C487" s="8">
        <f>VLOOKUP(A487,Operations!$A$3:$C$132,3,0)</f>
        <v>0</v>
      </c>
      <c r="D487" s="2" t="s">
        <v>152</v>
      </c>
      <c r="E487" s="2">
        <f>IFERROR(INDEX(Operations!$H$3:$K$132,MATCH(A487,Operations!$A$3:$A$132,0),MATCH(Link!D487,Operations!$H$2:$K$2,0)),"")</f>
        <v>0</v>
      </c>
      <c r="F487" t="b">
        <f>IF(E487&lt;&gt;0,IFERROR(VLOOKUP(A487,Operations!$A$3:$F$132,6,FALSE)*INDEX(Operations!$L$3:$O$132,MATCH(Link!A487,Operations!$A$3:$A$132,0),MATCH(Link!D487,Operations!$L$2:$O$2,0)),0))</f>
        <v>0</v>
      </c>
      <c r="G487" s="29" t="e">
        <f>ROUND((3600*F487/SUMIF($E$2:$E$521,E487,$F$2:$F$521))/VLOOKUP(A487,Operations!$A$3:$F$132,6,FALSE),0)</f>
        <v>#DIV/0!</v>
      </c>
      <c r="H487" s="28" t="e">
        <f t="shared" si="7"/>
        <v>#DIV/0!</v>
      </c>
    </row>
    <row r="488" spans="1:8" x14ac:dyDescent="0.3">
      <c r="A488" s="2" t="s">
        <v>104</v>
      </c>
      <c r="B488" s="8">
        <f>VLOOKUP(A488,Operations!$A$3:$B$132,2,TRUE)</f>
        <v>0</v>
      </c>
      <c r="C488" s="8">
        <f>VLOOKUP(A488,Operations!$A$3:$C$132,3,0)</f>
        <v>0</v>
      </c>
      <c r="D488" s="2" t="s">
        <v>152</v>
      </c>
      <c r="E488" s="2">
        <f>IFERROR(INDEX(Operations!$H$3:$K$132,MATCH(A488,Operations!$A$3:$A$132,0),MATCH(Link!D488,Operations!$H$2:$K$2,0)),"")</f>
        <v>0</v>
      </c>
      <c r="F488" t="b">
        <f>IF(E488&lt;&gt;0,IFERROR(VLOOKUP(A488,Operations!$A$3:$F$132,6,FALSE)*INDEX(Operations!$L$3:$O$132,MATCH(Link!A488,Operations!$A$3:$A$132,0),MATCH(Link!D488,Operations!$L$2:$O$2,0)),0))</f>
        <v>0</v>
      </c>
      <c r="G488" s="29" t="e">
        <f>ROUND((3600*F488/SUMIF($E$2:$E$521,E488,$F$2:$F$521))/VLOOKUP(A488,Operations!$A$3:$F$132,6,FALSE),0)</f>
        <v>#DIV/0!</v>
      </c>
      <c r="H488" s="28" t="e">
        <f t="shared" si="7"/>
        <v>#DIV/0!</v>
      </c>
    </row>
    <row r="489" spans="1:8" x14ac:dyDescent="0.3">
      <c r="A489" s="2" t="s">
        <v>105</v>
      </c>
      <c r="B489" s="8">
        <f>VLOOKUP(A489,Operations!$A$3:$B$132,2,TRUE)</f>
        <v>0</v>
      </c>
      <c r="C489" s="8">
        <f>VLOOKUP(A489,Operations!$A$3:$C$132,3,0)</f>
        <v>0</v>
      </c>
      <c r="D489" s="2" t="s">
        <v>152</v>
      </c>
      <c r="E489" s="2">
        <f>IFERROR(INDEX(Operations!$H$3:$K$132,MATCH(A489,Operations!$A$3:$A$132,0),MATCH(Link!D489,Operations!$H$2:$K$2,0)),"")</f>
        <v>0</v>
      </c>
      <c r="F489" t="b">
        <f>IF(E489&lt;&gt;0,IFERROR(VLOOKUP(A489,Operations!$A$3:$F$132,6,FALSE)*INDEX(Operations!$L$3:$O$132,MATCH(Link!A489,Operations!$A$3:$A$132,0),MATCH(Link!D489,Operations!$L$2:$O$2,0)),0))</f>
        <v>0</v>
      </c>
      <c r="G489" s="29" t="e">
        <f>ROUND((3600*F489/SUMIF($E$2:$E$521,E489,$F$2:$F$521))/VLOOKUP(A489,Operations!$A$3:$F$132,6,FALSE),0)</f>
        <v>#DIV/0!</v>
      </c>
      <c r="H489" s="28" t="e">
        <f t="shared" si="7"/>
        <v>#DIV/0!</v>
      </c>
    </row>
    <row r="490" spans="1:8" x14ac:dyDescent="0.3">
      <c r="A490" s="2" t="s">
        <v>106</v>
      </c>
      <c r="B490" s="8">
        <f>VLOOKUP(A490,Operations!$A$3:$B$132,2,TRUE)</f>
        <v>0</v>
      </c>
      <c r="C490" s="8">
        <f>VLOOKUP(A490,Operations!$A$3:$C$132,3,0)</f>
        <v>0</v>
      </c>
      <c r="D490" s="2" t="s">
        <v>152</v>
      </c>
      <c r="E490" s="2">
        <f>IFERROR(INDEX(Operations!$H$3:$K$132,MATCH(A490,Operations!$A$3:$A$132,0),MATCH(Link!D490,Operations!$H$2:$K$2,0)),"")</f>
        <v>0</v>
      </c>
      <c r="F490" t="b">
        <f>IF(E490&lt;&gt;0,IFERROR(VLOOKUP(A490,Operations!$A$3:$F$132,6,FALSE)*INDEX(Operations!$L$3:$O$132,MATCH(Link!A490,Operations!$A$3:$A$132,0),MATCH(Link!D490,Operations!$L$2:$O$2,0)),0))</f>
        <v>0</v>
      </c>
      <c r="G490" s="29" t="e">
        <f>ROUND((3600*F490/SUMIF($E$2:$E$521,E490,$F$2:$F$521))/VLOOKUP(A490,Operations!$A$3:$F$132,6,FALSE),0)</f>
        <v>#DIV/0!</v>
      </c>
      <c r="H490" s="28" t="e">
        <f t="shared" si="7"/>
        <v>#DIV/0!</v>
      </c>
    </row>
    <row r="491" spans="1:8" x14ac:dyDescent="0.3">
      <c r="A491" s="2" t="s">
        <v>107</v>
      </c>
      <c r="B491" s="8">
        <f>VLOOKUP(A491,Operations!$A$3:$B$132,2,TRUE)</f>
        <v>7</v>
      </c>
      <c r="C491" s="8">
        <f>VLOOKUP(A491,Operations!$A$3:$C$132,3,0)</f>
        <v>0</v>
      </c>
      <c r="D491" s="2" t="s">
        <v>152</v>
      </c>
      <c r="E491" s="2">
        <f>IFERROR(INDEX(Operations!$H$3:$K$132,MATCH(A491,Operations!$A$3:$A$132,0),MATCH(Link!D491,Operations!$H$2:$K$2,0)),"")</f>
        <v>0</v>
      </c>
      <c r="F491" t="b">
        <f>IF(E491&lt;&gt;0,IFERROR(VLOOKUP(A491,Operations!$A$3:$F$132,6,FALSE)*INDEX(Operations!$L$3:$O$132,MATCH(Link!A491,Operations!$A$3:$A$132,0),MATCH(Link!D491,Operations!$L$2:$O$2,0)),0))</f>
        <v>0</v>
      </c>
      <c r="G491" s="29" t="e">
        <f>ROUND((3600*F491/SUMIF($E$2:$E$521,E491,$F$2:$F$521))/VLOOKUP(A491,Operations!$A$3:$F$132,6,FALSE),0)</f>
        <v>#DIV/0!</v>
      </c>
      <c r="H491" s="28" t="e">
        <f t="shared" si="7"/>
        <v>#DIV/0!</v>
      </c>
    </row>
    <row r="492" spans="1:8" x14ac:dyDescent="0.3">
      <c r="A492" s="2" t="s">
        <v>108</v>
      </c>
      <c r="B492" s="8">
        <f>VLOOKUP(A492,Operations!$A$3:$B$132,2,TRUE)</f>
        <v>7</v>
      </c>
      <c r="C492" s="8">
        <f>VLOOKUP(A492,Operations!$A$3:$C$132,3,0)</f>
        <v>0</v>
      </c>
      <c r="D492" s="2" t="s">
        <v>152</v>
      </c>
      <c r="E492" s="2">
        <f>IFERROR(INDEX(Operations!$H$3:$K$132,MATCH(A492,Operations!$A$3:$A$132,0),MATCH(Link!D492,Operations!$H$2:$K$2,0)),"")</f>
        <v>0</v>
      </c>
      <c r="F492" t="b">
        <f>IF(E492&lt;&gt;0,IFERROR(VLOOKUP(A492,Operations!$A$3:$F$132,6,FALSE)*INDEX(Operations!$L$3:$O$132,MATCH(Link!A492,Operations!$A$3:$A$132,0),MATCH(Link!D492,Operations!$L$2:$O$2,0)),0))</f>
        <v>0</v>
      </c>
      <c r="G492" s="29" t="e">
        <f>ROUND((3600*F492/SUMIF($E$2:$E$521,E492,$F$2:$F$521))/VLOOKUP(A492,Operations!$A$3:$F$132,6,FALSE),0)</f>
        <v>#DIV/0!</v>
      </c>
      <c r="H492" s="28" t="e">
        <f t="shared" si="7"/>
        <v>#DIV/0!</v>
      </c>
    </row>
    <row r="493" spans="1:8" x14ac:dyDescent="0.3">
      <c r="A493" s="2" t="s">
        <v>109</v>
      </c>
      <c r="B493" s="8">
        <f>VLOOKUP(A493,Operations!$A$3:$B$132,2,TRUE)</f>
        <v>7</v>
      </c>
      <c r="C493" s="8">
        <f>VLOOKUP(A493,Operations!$A$3:$C$132,3,0)</f>
        <v>0</v>
      </c>
      <c r="D493" s="2" t="s">
        <v>152</v>
      </c>
      <c r="E493" s="2">
        <f>IFERROR(INDEX(Operations!$H$3:$K$132,MATCH(A493,Operations!$A$3:$A$132,0),MATCH(Link!D493,Operations!$H$2:$K$2,0)),"")</f>
        <v>0</v>
      </c>
      <c r="F493" t="b">
        <f>IF(E493&lt;&gt;0,IFERROR(VLOOKUP(A493,Operations!$A$3:$F$132,6,FALSE)*INDEX(Operations!$L$3:$O$132,MATCH(Link!A493,Operations!$A$3:$A$132,0),MATCH(Link!D493,Operations!$L$2:$O$2,0)),0))</f>
        <v>0</v>
      </c>
      <c r="G493" s="29" t="e">
        <f>ROUND((3600*F493/SUMIF($E$2:$E$521,E493,$F$2:$F$521))/VLOOKUP(A493,Operations!$A$3:$F$132,6,FALSE),0)</f>
        <v>#DIV/0!</v>
      </c>
      <c r="H493" s="28" t="e">
        <f t="shared" si="7"/>
        <v>#DIV/0!</v>
      </c>
    </row>
    <row r="494" spans="1:8" x14ac:dyDescent="0.3">
      <c r="A494" s="2" t="s">
        <v>110</v>
      </c>
      <c r="B494" s="8">
        <f>VLOOKUP(A494,Operations!$A$3:$B$132,2,TRUE)</f>
        <v>7</v>
      </c>
      <c r="C494" s="8">
        <f>VLOOKUP(A494,Operations!$A$3:$C$132,3,0)</f>
        <v>0</v>
      </c>
      <c r="D494" s="2" t="s">
        <v>152</v>
      </c>
      <c r="E494" s="2">
        <f>IFERROR(INDEX(Operations!$H$3:$K$132,MATCH(A494,Operations!$A$3:$A$132,0),MATCH(Link!D494,Operations!$H$2:$K$2,0)),"")</f>
        <v>0</v>
      </c>
      <c r="F494" t="b">
        <f>IF(E494&lt;&gt;0,IFERROR(VLOOKUP(A494,Operations!$A$3:$F$132,6,FALSE)*INDEX(Operations!$L$3:$O$132,MATCH(Link!A494,Operations!$A$3:$A$132,0),MATCH(Link!D494,Operations!$L$2:$O$2,0)),0))</f>
        <v>0</v>
      </c>
      <c r="G494" s="29" t="e">
        <f>ROUND((3600*F494/SUMIF($E$2:$E$521,E494,$F$2:$F$521))/VLOOKUP(A494,Operations!$A$3:$F$132,6,FALSE),0)</f>
        <v>#DIV/0!</v>
      </c>
      <c r="H494" s="28" t="e">
        <f t="shared" si="7"/>
        <v>#DIV/0!</v>
      </c>
    </row>
    <row r="495" spans="1:8" x14ac:dyDescent="0.3">
      <c r="A495" s="2" t="s">
        <v>111</v>
      </c>
      <c r="B495" s="8">
        <f>VLOOKUP(A495,Operations!$A$3:$B$132,2,TRUE)</f>
        <v>7</v>
      </c>
      <c r="C495" s="8">
        <f>VLOOKUP(A495,Operations!$A$3:$C$132,3,0)</f>
        <v>0</v>
      </c>
      <c r="D495" s="2" t="s">
        <v>152</v>
      </c>
      <c r="E495" s="2">
        <f>IFERROR(INDEX(Operations!$H$3:$K$132,MATCH(A495,Operations!$A$3:$A$132,0),MATCH(Link!D495,Operations!$H$2:$K$2,0)),"")</f>
        <v>0</v>
      </c>
      <c r="F495" t="b">
        <f>IF(E495&lt;&gt;0,IFERROR(VLOOKUP(A495,Operations!$A$3:$F$132,6,FALSE)*INDEX(Operations!$L$3:$O$132,MATCH(Link!A495,Operations!$A$3:$A$132,0),MATCH(Link!D495,Operations!$L$2:$O$2,0)),0))</f>
        <v>0</v>
      </c>
      <c r="G495" s="29" t="e">
        <f>ROUND((3600*F495/SUMIF($E$2:$E$521,E495,$F$2:$F$521))/VLOOKUP(A495,Operations!$A$3:$F$132,6,FALSE),0)</f>
        <v>#DIV/0!</v>
      </c>
      <c r="H495" s="28" t="e">
        <f t="shared" si="7"/>
        <v>#DIV/0!</v>
      </c>
    </row>
    <row r="496" spans="1:8" x14ac:dyDescent="0.3">
      <c r="A496" s="2" t="s">
        <v>112</v>
      </c>
      <c r="B496" s="8">
        <f>VLOOKUP(A496,Operations!$A$3:$B$132,2,TRUE)</f>
        <v>7</v>
      </c>
      <c r="C496" s="8">
        <f>VLOOKUP(A496,Operations!$A$3:$C$132,3,0)</f>
        <v>0</v>
      </c>
      <c r="D496" s="2" t="s">
        <v>152</v>
      </c>
      <c r="E496" s="2">
        <f>IFERROR(INDEX(Operations!$H$3:$K$132,MATCH(A496,Operations!$A$3:$A$132,0),MATCH(Link!D496,Operations!$H$2:$K$2,0)),"")</f>
        <v>0</v>
      </c>
      <c r="F496" t="b">
        <f>IF(E496&lt;&gt;0,IFERROR(VLOOKUP(A496,Operations!$A$3:$F$132,6,FALSE)*INDEX(Operations!$L$3:$O$132,MATCH(Link!A496,Operations!$A$3:$A$132,0),MATCH(Link!D496,Operations!$L$2:$O$2,0)),0))</f>
        <v>0</v>
      </c>
      <c r="G496" s="29" t="e">
        <f>ROUND((3600*F496/SUMIF($E$2:$E$521,E496,$F$2:$F$521))/VLOOKUP(A496,Operations!$A$3:$F$132,6,FALSE),0)</f>
        <v>#DIV/0!</v>
      </c>
      <c r="H496" s="28" t="e">
        <f t="shared" si="7"/>
        <v>#DIV/0!</v>
      </c>
    </row>
    <row r="497" spans="1:8" x14ac:dyDescent="0.3">
      <c r="A497" s="2" t="s">
        <v>113</v>
      </c>
      <c r="B497" s="8">
        <f>VLOOKUP(A497,Operations!$A$3:$B$132,2,TRUE)</f>
        <v>7</v>
      </c>
      <c r="C497" s="8">
        <f>VLOOKUP(A497,Operations!$A$3:$C$132,3,0)</f>
        <v>0</v>
      </c>
      <c r="D497" s="2" t="s">
        <v>152</v>
      </c>
      <c r="E497" s="2">
        <f>IFERROR(INDEX(Operations!$H$3:$K$132,MATCH(A497,Operations!$A$3:$A$132,0),MATCH(Link!D497,Operations!$H$2:$K$2,0)),"")</f>
        <v>0</v>
      </c>
      <c r="F497" t="b">
        <f>IF(E497&lt;&gt;0,IFERROR(VLOOKUP(A497,Operations!$A$3:$F$132,6,FALSE)*INDEX(Operations!$L$3:$O$132,MATCH(Link!A497,Operations!$A$3:$A$132,0),MATCH(Link!D497,Operations!$L$2:$O$2,0)),0))</f>
        <v>0</v>
      </c>
      <c r="G497" s="29" t="e">
        <f>ROUND((3600*F497/SUMIF($E$2:$E$521,E497,$F$2:$F$521))/VLOOKUP(A497,Operations!$A$3:$F$132,6,FALSE),0)</f>
        <v>#DIV/0!</v>
      </c>
      <c r="H497" s="28" t="e">
        <f t="shared" si="7"/>
        <v>#DIV/0!</v>
      </c>
    </row>
    <row r="498" spans="1:8" x14ac:dyDescent="0.3">
      <c r="A498" s="2" t="s">
        <v>114</v>
      </c>
      <c r="B498" s="8">
        <f>VLOOKUP(A498,Operations!$A$3:$B$132,2,TRUE)</f>
        <v>7</v>
      </c>
      <c r="C498" s="8">
        <f>VLOOKUP(A498,Operations!$A$3:$C$132,3,0)</f>
        <v>0</v>
      </c>
      <c r="D498" s="2" t="s">
        <v>152</v>
      </c>
      <c r="E498" s="2">
        <f>IFERROR(INDEX(Operations!$H$3:$K$132,MATCH(A498,Operations!$A$3:$A$132,0),MATCH(Link!D498,Operations!$H$2:$K$2,0)),"")</f>
        <v>0</v>
      </c>
      <c r="F498" t="b">
        <f>IF(E498&lt;&gt;0,IFERROR(VLOOKUP(A498,Operations!$A$3:$F$132,6,FALSE)*INDEX(Operations!$L$3:$O$132,MATCH(Link!A498,Operations!$A$3:$A$132,0),MATCH(Link!D498,Operations!$L$2:$O$2,0)),0))</f>
        <v>0</v>
      </c>
      <c r="G498" s="29" t="e">
        <f>ROUND((3600*F498/SUMIF($E$2:$E$521,E498,$F$2:$F$521))/VLOOKUP(A498,Operations!$A$3:$F$132,6,FALSE),0)</f>
        <v>#DIV/0!</v>
      </c>
      <c r="H498" s="28" t="e">
        <f t="shared" si="7"/>
        <v>#DIV/0!</v>
      </c>
    </row>
    <row r="499" spans="1:8" x14ac:dyDescent="0.3">
      <c r="A499" s="2" t="s">
        <v>115</v>
      </c>
      <c r="B499" s="8">
        <f>VLOOKUP(A499,Operations!$A$3:$B$132,2,TRUE)</f>
        <v>7</v>
      </c>
      <c r="C499" s="8">
        <f>VLOOKUP(A499,Operations!$A$3:$C$132,3,0)</f>
        <v>0</v>
      </c>
      <c r="D499" s="2" t="s">
        <v>152</v>
      </c>
      <c r="E499" s="2">
        <f>IFERROR(INDEX(Operations!$H$3:$K$132,MATCH(A499,Operations!$A$3:$A$132,0),MATCH(Link!D499,Operations!$H$2:$K$2,0)),"")</f>
        <v>0</v>
      </c>
      <c r="F499" t="b">
        <f>IF(E499&lt;&gt;0,IFERROR(VLOOKUP(A499,Operations!$A$3:$F$132,6,FALSE)*INDEX(Operations!$L$3:$O$132,MATCH(Link!A499,Operations!$A$3:$A$132,0),MATCH(Link!D499,Operations!$L$2:$O$2,0)),0))</f>
        <v>0</v>
      </c>
      <c r="G499" s="29" t="e">
        <f>ROUND((3600*F499/SUMIF($E$2:$E$521,E499,$F$2:$F$521))/VLOOKUP(A499,Operations!$A$3:$F$132,6,FALSE),0)</f>
        <v>#DIV/0!</v>
      </c>
      <c r="H499" s="28" t="e">
        <f t="shared" si="7"/>
        <v>#DIV/0!</v>
      </c>
    </row>
    <row r="500" spans="1:8" x14ac:dyDescent="0.3">
      <c r="A500" s="2" t="s">
        <v>116</v>
      </c>
      <c r="B500" s="8">
        <f>VLOOKUP(A500,Operations!$A$3:$B$132,2,TRUE)</f>
        <v>7</v>
      </c>
      <c r="C500" s="8">
        <f>VLOOKUP(A500,Operations!$A$3:$C$132,3,0)</f>
        <v>0</v>
      </c>
      <c r="D500" s="2" t="s">
        <v>152</v>
      </c>
      <c r="E500" s="2">
        <f>IFERROR(INDEX(Operations!$H$3:$K$132,MATCH(A500,Operations!$A$3:$A$132,0),MATCH(Link!D500,Operations!$H$2:$K$2,0)),"")</f>
        <v>0</v>
      </c>
      <c r="F500" t="b">
        <f>IF(E500&lt;&gt;0,IFERROR(VLOOKUP(A500,Operations!$A$3:$F$132,6,FALSE)*INDEX(Operations!$L$3:$O$132,MATCH(Link!A500,Operations!$A$3:$A$132,0),MATCH(Link!D500,Operations!$L$2:$O$2,0)),0))</f>
        <v>0</v>
      </c>
      <c r="G500" s="29" t="e">
        <f>ROUND((3600*F500/SUMIF($E$2:$E$521,E500,$F$2:$F$521))/VLOOKUP(A500,Operations!$A$3:$F$132,6,FALSE),0)</f>
        <v>#DIV/0!</v>
      </c>
      <c r="H500" s="28" t="e">
        <f t="shared" si="7"/>
        <v>#DIV/0!</v>
      </c>
    </row>
    <row r="501" spans="1:8" x14ac:dyDescent="0.3">
      <c r="A501" s="2" t="s">
        <v>117</v>
      </c>
      <c r="B501" s="8">
        <f>VLOOKUP(A501,Operations!$A$3:$B$132,2,TRUE)</f>
        <v>6</v>
      </c>
      <c r="C501" s="8">
        <f>VLOOKUP(A501,Operations!$A$3:$C$132,3,0)</f>
        <v>0</v>
      </c>
      <c r="D501" s="2" t="s">
        <v>152</v>
      </c>
      <c r="E501" s="2">
        <f>IFERROR(INDEX(Operations!$H$3:$K$132,MATCH(A501,Operations!$A$3:$A$132,0),MATCH(Link!D501,Operations!$H$2:$K$2,0)),"")</f>
        <v>0</v>
      </c>
      <c r="F501" t="b">
        <f>IF(E501&lt;&gt;0,IFERROR(VLOOKUP(A501,Operations!$A$3:$F$132,6,FALSE)*INDEX(Operations!$L$3:$O$132,MATCH(Link!A501,Operations!$A$3:$A$132,0),MATCH(Link!D501,Operations!$L$2:$O$2,0)),0))</f>
        <v>0</v>
      </c>
      <c r="G501" s="29" t="e">
        <f>ROUND((3600*F501/SUMIF($E$2:$E$521,E501,$F$2:$F$521))/VLOOKUP(A501,Operations!$A$3:$F$132,6,FALSE),0)</f>
        <v>#DIV/0!</v>
      </c>
      <c r="H501" s="28" t="e">
        <f t="shared" si="7"/>
        <v>#DIV/0!</v>
      </c>
    </row>
    <row r="502" spans="1:8" x14ac:dyDescent="0.3">
      <c r="A502" s="2" t="s">
        <v>118</v>
      </c>
      <c r="B502" s="8">
        <f>VLOOKUP(A502,Operations!$A$3:$B$132,2,TRUE)</f>
        <v>6</v>
      </c>
      <c r="C502" s="8">
        <f>VLOOKUP(A502,Operations!$A$3:$C$132,3,0)</f>
        <v>0</v>
      </c>
      <c r="D502" s="2" t="s">
        <v>152</v>
      </c>
      <c r="E502" s="2">
        <f>IFERROR(INDEX(Operations!$H$3:$K$132,MATCH(A502,Operations!$A$3:$A$132,0),MATCH(Link!D502,Operations!$H$2:$K$2,0)),"")</f>
        <v>0</v>
      </c>
      <c r="F502" t="b">
        <f>IF(E502&lt;&gt;0,IFERROR(VLOOKUP(A502,Operations!$A$3:$F$132,6,FALSE)*INDEX(Operations!$L$3:$O$132,MATCH(Link!A502,Operations!$A$3:$A$132,0),MATCH(Link!D502,Operations!$L$2:$O$2,0)),0))</f>
        <v>0</v>
      </c>
      <c r="G502" s="29" t="e">
        <f>ROUND((3600*F502/SUMIF($E$2:$E$521,E502,$F$2:$F$521))/VLOOKUP(A502,Operations!$A$3:$F$132,6,FALSE),0)</f>
        <v>#DIV/0!</v>
      </c>
      <c r="H502" s="28" t="e">
        <f t="shared" si="7"/>
        <v>#DIV/0!</v>
      </c>
    </row>
    <row r="503" spans="1:8" x14ac:dyDescent="0.3">
      <c r="A503" s="2" t="s">
        <v>119</v>
      </c>
      <c r="B503" s="8">
        <f>VLOOKUP(A503,Operations!$A$3:$B$132,2,TRUE)</f>
        <v>6</v>
      </c>
      <c r="C503" s="8">
        <f>VLOOKUP(A503,Operations!$A$3:$C$132,3,0)</f>
        <v>0</v>
      </c>
      <c r="D503" s="2" t="s">
        <v>152</v>
      </c>
      <c r="E503" s="2">
        <f>IFERROR(INDEX(Operations!$H$3:$K$132,MATCH(A503,Operations!$A$3:$A$132,0),MATCH(Link!D503,Operations!$H$2:$K$2,0)),"")</f>
        <v>0</v>
      </c>
      <c r="F503" t="b">
        <f>IF(E503&lt;&gt;0,IFERROR(VLOOKUP(A503,Operations!$A$3:$F$132,6,FALSE)*INDEX(Operations!$L$3:$O$132,MATCH(Link!A503,Operations!$A$3:$A$132,0),MATCH(Link!D503,Operations!$L$2:$O$2,0)),0))</f>
        <v>0</v>
      </c>
      <c r="G503" s="29" t="e">
        <f>ROUND((3600*F503/SUMIF($E$2:$E$521,E503,$F$2:$F$521))/VLOOKUP(A503,Operations!$A$3:$F$132,6,FALSE),0)</f>
        <v>#DIV/0!</v>
      </c>
      <c r="H503" s="28" t="e">
        <f t="shared" si="7"/>
        <v>#DIV/0!</v>
      </c>
    </row>
    <row r="504" spans="1:8" x14ac:dyDescent="0.3">
      <c r="A504" s="2" t="s">
        <v>120</v>
      </c>
      <c r="B504" s="8">
        <f>VLOOKUP(A504,Operations!$A$3:$B$132,2,TRUE)</f>
        <v>6</v>
      </c>
      <c r="C504" s="8">
        <f>VLOOKUP(A504,Operations!$A$3:$C$132,3,0)</f>
        <v>0</v>
      </c>
      <c r="D504" s="2" t="s">
        <v>152</v>
      </c>
      <c r="E504" s="2">
        <f>IFERROR(INDEX(Operations!$H$3:$K$132,MATCH(A504,Operations!$A$3:$A$132,0),MATCH(Link!D504,Operations!$H$2:$K$2,0)),"")</f>
        <v>0</v>
      </c>
      <c r="F504" t="b">
        <f>IF(E504&lt;&gt;0,IFERROR(VLOOKUP(A504,Operations!$A$3:$F$132,6,FALSE)*INDEX(Operations!$L$3:$O$132,MATCH(Link!A504,Operations!$A$3:$A$132,0),MATCH(Link!D504,Operations!$L$2:$O$2,0)),0))</f>
        <v>0</v>
      </c>
      <c r="G504" s="29" t="e">
        <f>ROUND((3600*F504/SUMIF($E$2:$E$521,E504,$F$2:$F$521))/VLOOKUP(A504,Operations!$A$3:$F$132,6,FALSE),0)</f>
        <v>#DIV/0!</v>
      </c>
      <c r="H504" s="28" t="e">
        <f t="shared" si="7"/>
        <v>#DIV/0!</v>
      </c>
    </row>
    <row r="505" spans="1:8" x14ac:dyDescent="0.3">
      <c r="A505" s="2" t="s">
        <v>121</v>
      </c>
      <c r="B505" s="8">
        <f>VLOOKUP(A505,Operations!$A$3:$B$132,2,TRUE)</f>
        <v>6</v>
      </c>
      <c r="C505" s="8">
        <f>VLOOKUP(A505,Operations!$A$3:$C$132,3,0)</f>
        <v>0</v>
      </c>
      <c r="D505" s="2" t="s">
        <v>152</v>
      </c>
      <c r="E505" s="2">
        <f>IFERROR(INDEX(Operations!$H$3:$K$132,MATCH(A505,Operations!$A$3:$A$132,0),MATCH(Link!D505,Operations!$H$2:$K$2,0)),"")</f>
        <v>0</v>
      </c>
      <c r="F505" t="b">
        <f>IF(E505&lt;&gt;0,IFERROR(VLOOKUP(A505,Operations!$A$3:$F$132,6,FALSE)*INDEX(Operations!$L$3:$O$132,MATCH(Link!A505,Operations!$A$3:$A$132,0),MATCH(Link!D505,Operations!$L$2:$O$2,0)),0))</f>
        <v>0</v>
      </c>
      <c r="G505" s="29" t="e">
        <f>ROUND((3600*F505/SUMIF($E$2:$E$521,E505,$F$2:$F$521))/VLOOKUP(A505,Operations!$A$3:$F$132,6,FALSE),0)</f>
        <v>#DIV/0!</v>
      </c>
      <c r="H505" s="28" t="e">
        <f t="shared" si="7"/>
        <v>#DIV/0!</v>
      </c>
    </row>
    <row r="506" spans="1:8" x14ac:dyDescent="0.3">
      <c r="A506" s="2" t="s">
        <v>122</v>
      </c>
      <c r="B506" s="8">
        <f>VLOOKUP(A506,Operations!$A$3:$B$132,2,TRUE)</f>
        <v>6</v>
      </c>
      <c r="C506" s="8">
        <f>VLOOKUP(A506,Operations!$A$3:$C$132,3,0)</f>
        <v>0</v>
      </c>
      <c r="D506" s="2" t="s">
        <v>152</v>
      </c>
      <c r="E506" s="2">
        <f>IFERROR(INDEX(Operations!$H$3:$K$132,MATCH(A506,Operations!$A$3:$A$132,0),MATCH(Link!D506,Operations!$H$2:$K$2,0)),"")</f>
        <v>0</v>
      </c>
      <c r="F506" t="b">
        <f>IF(E506&lt;&gt;0,IFERROR(VLOOKUP(A506,Operations!$A$3:$F$132,6,FALSE)*INDEX(Operations!$L$3:$O$132,MATCH(Link!A506,Operations!$A$3:$A$132,0),MATCH(Link!D506,Operations!$L$2:$O$2,0)),0))</f>
        <v>0</v>
      </c>
      <c r="G506" s="29" t="e">
        <f>ROUND((3600*F506/SUMIF($E$2:$E$521,E506,$F$2:$F$521))/VLOOKUP(A506,Operations!$A$3:$F$132,6,FALSE),0)</f>
        <v>#DIV/0!</v>
      </c>
      <c r="H506" s="28" t="e">
        <f t="shared" si="7"/>
        <v>#DIV/0!</v>
      </c>
    </row>
    <row r="507" spans="1:8" x14ac:dyDescent="0.3">
      <c r="A507" s="2" t="s">
        <v>123</v>
      </c>
      <c r="B507" s="8">
        <f>VLOOKUP(A507,Operations!$A$3:$B$132,2,TRUE)</f>
        <v>6</v>
      </c>
      <c r="C507" s="8">
        <f>VLOOKUP(A507,Operations!$A$3:$C$132,3,0)</f>
        <v>0</v>
      </c>
      <c r="D507" s="2" t="s">
        <v>152</v>
      </c>
      <c r="E507" s="2">
        <f>IFERROR(INDEX(Operations!$H$3:$K$132,MATCH(A507,Operations!$A$3:$A$132,0),MATCH(Link!D507,Operations!$H$2:$K$2,0)),"")</f>
        <v>0</v>
      </c>
      <c r="F507" t="b">
        <f>IF(E507&lt;&gt;0,IFERROR(VLOOKUP(A507,Operations!$A$3:$F$132,6,FALSE)*INDEX(Operations!$L$3:$O$132,MATCH(Link!A507,Operations!$A$3:$A$132,0),MATCH(Link!D507,Operations!$L$2:$O$2,0)),0))</f>
        <v>0</v>
      </c>
      <c r="G507" s="29" t="e">
        <f>ROUND((3600*F507/SUMIF($E$2:$E$521,E507,$F$2:$F$521))/VLOOKUP(A507,Operations!$A$3:$F$132,6,FALSE),0)</f>
        <v>#DIV/0!</v>
      </c>
      <c r="H507" s="28" t="e">
        <f t="shared" si="7"/>
        <v>#DIV/0!</v>
      </c>
    </row>
    <row r="508" spans="1:8" x14ac:dyDescent="0.3">
      <c r="A508" s="2" t="s">
        <v>124</v>
      </c>
      <c r="B508" s="8">
        <f>VLOOKUP(A508,Operations!$A$3:$B$132,2,TRUE)</f>
        <v>6</v>
      </c>
      <c r="C508" s="8">
        <f>VLOOKUP(A508,Operations!$A$3:$C$132,3,0)</f>
        <v>0</v>
      </c>
      <c r="D508" s="2" t="s">
        <v>152</v>
      </c>
      <c r="E508" s="2">
        <f>IFERROR(INDEX(Operations!$H$3:$K$132,MATCH(A508,Operations!$A$3:$A$132,0),MATCH(Link!D508,Operations!$H$2:$K$2,0)),"")</f>
        <v>0</v>
      </c>
      <c r="F508" t="b">
        <f>IF(E508&lt;&gt;0,IFERROR(VLOOKUP(A508,Operations!$A$3:$F$132,6,FALSE)*INDEX(Operations!$L$3:$O$132,MATCH(Link!A508,Operations!$A$3:$A$132,0),MATCH(Link!D508,Operations!$L$2:$O$2,0)),0))</f>
        <v>0</v>
      </c>
      <c r="G508" s="29" t="e">
        <f>ROUND((3600*F508/SUMIF($E$2:$E$521,E508,$F$2:$F$521))/VLOOKUP(A508,Operations!$A$3:$F$132,6,FALSE),0)</f>
        <v>#DIV/0!</v>
      </c>
      <c r="H508" s="28" t="e">
        <f t="shared" si="7"/>
        <v>#DIV/0!</v>
      </c>
    </row>
    <row r="509" spans="1:8" x14ac:dyDescent="0.3">
      <c r="A509" s="2" t="s">
        <v>125</v>
      </c>
      <c r="B509" s="8">
        <f>VLOOKUP(A509,Operations!$A$3:$B$132,2,TRUE)</f>
        <v>6</v>
      </c>
      <c r="C509" s="8">
        <f>VLOOKUP(A509,Operations!$A$3:$C$132,3,0)</f>
        <v>0</v>
      </c>
      <c r="D509" s="2" t="s">
        <v>152</v>
      </c>
      <c r="E509" s="2">
        <f>IFERROR(INDEX(Operations!$H$3:$K$132,MATCH(A509,Operations!$A$3:$A$132,0),MATCH(Link!D509,Operations!$H$2:$K$2,0)),"")</f>
        <v>0</v>
      </c>
      <c r="F509" t="b">
        <f>IF(E509&lt;&gt;0,IFERROR(VLOOKUP(A509,Operations!$A$3:$F$132,6,FALSE)*INDEX(Operations!$L$3:$O$132,MATCH(Link!A509,Operations!$A$3:$A$132,0),MATCH(Link!D509,Operations!$L$2:$O$2,0)),0))</f>
        <v>0</v>
      </c>
      <c r="G509" s="29" t="e">
        <f>ROUND((3600*F509/SUMIF($E$2:$E$521,E509,$F$2:$F$521))/VLOOKUP(A509,Operations!$A$3:$F$132,6,FALSE),0)</f>
        <v>#DIV/0!</v>
      </c>
      <c r="H509" s="28" t="e">
        <f t="shared" si="7"/>
        <v>#DIV/0!</v>
      </c>
    </row>
    <row r="510" spans="1:8" x14ac:dyDescent="0.3">
      <c r="A510" s="2" t="s">
        <v>126</v>
      </c>
      <c r="B510" s="8">
        <f>VLOOKUP(A510,Operations!$A$3:$B$132,2,TRUE)</f>
        <v>6</v>
      </c>
      <c r="C510" s="8">
        <f>VLOOKUP(A510,Operations!$A$3:$C$132,3,0)</f>
        <v>0</v>
      </c>
      <c r="D510" s="2" t="s">
        <v>152</v>
      </c>
      <c r="E510" s="2">
        <f>IFERROR(INDEX(Operations!$H$3:$K$132,MATCH(A510,Operations!$A$3:$A$132,0),MATCH(Link!D510,Operations!$H$2:$K$2,0)),"")</f>
        <v>0</v>
      </c>
      <c r="F510" t="b">
        <f>IF(E510&lt;&gt;0,IFERROR(VLOOKUP(A510,Operations!$A$3:$F$132,6,FALSE)*INDEX(Operations!$L$3:$O$132,MATCH(Link!A510,Operations!$A$3:$A$132,0),MATCH(Link!D510,Operations!$L$2:$O$2,0)),0))</f>
        <v>0</v>
      </c>
      <c r="G510" s="29" t="e">
        <f>ROUND((3600*F510/SUMIF($E$2:$E$521,E510,$F$2:$F$521))/VLOOKUP(A510,Operations!$A$3:$F$132,6,FALSE),0)</f>
        <v>#DIV/0!</v>
      </c>
      <c r="H510" s="28" t="e">
        <f t="shared" si="7"/>
        <v>#DIV/0!</v>
      </c>
    </row>
    <row r="511" spans="1:8" x14ac:dyDescent="0.3">
      <c r="A511" s="2" t="s">
        <v>127</v>
      </c>
      <c r="B511" s="8">
        <f>VLOOKUP(A511,Operations!$A$3:$B$132,2,TRUE)</f>
        <v>5</v>
      </c>
      <c r="C511" s="8">
        <f>VLOOKUP(A511,Operations!$A$3:$C$132,3,0)</f>
        <v>0</v>
      </c>
      <c r="D511" s="2" t="s">
        <v>152</v>
      </c>
      <c r="E511" s="2">
        <f>IFERROR(INDEX(Operations!$H$3:$K$132,MATCH(A511,Operations!$A$3:$A$132,0),MATCH(Link!D511,Operations!$H$2:$K$2,0)),"")</f>
        <v>0</v>
      </c>
      <c r="F511" t="b">
        <f>IF(E511&lt;&gt;0,IFERROR(VLOOKUP(A511,Operations!$A$3:$F$132,6,FALSE)*INDEX(Operations!$L$3:$O$132,MATCH(Link!A511,Operations!$A$3:$A$132,0),MATCH(Link!D511,Operations!$L$2:$O$2,0)),0))</f>
        <v>0</v>
      </c>
      <c r="G511" s="29" t="e">
        <f>ROUND((3600*F511/SUMIF($E$2:$E$521,E511,$F$2:$F$521))/VLOOKUP(A511,Operations!$A$3:$F$132,6,FALSE),0)</f>
        <v>#DIV/0!</v>
      </c>
      <c r="H511" s="28" t="e">
        <f t="shared" si="7"/>
        <v>#DIV/0!</v>
      </c>
    </row>
    <row r="512" spans="1:8" x14ac:dyDescent="0.3">
      <c r="A512" s="2" t="s">
        <v>128</v>
      </c>
      <c r="B512" s="8">
        <f>VLOOKUP(A512,Operations!$A$3:$B$132,2,TRUE)</f>
        <v>5</v>
      </c>
      <c r="C512" s="8">
        <f>VLOOKUP(A512,Operations!$A$3:$C$132,3,0)</f>
        <v>0</v>
      </c>
      <c r="D512" s="2" t="s">
        <v>152</v>
      </c>
      <c r="E512" s="2">
        <f>IFERROR(INDEX(Operations!$H$3:$K$132,MATCH(A512,Operations!$A$3:$A$132,0),MATCH(Link!D512,Operations!$H$2:$K$2,0)),"")</f>
        <v>0</v>
      </c>
      <c r="F512" t="b">
        <f>IF(E512&lt;&gt;0,IFERROR(VLOOKUP(A512,Operations!$A$3:$F$132,6,FALSE)*INDEX(Operations!$L$3:$O$132,MATCH(Link!A512,Operations!$A$3:$A$132,0),MATCH(Link!D512,Operations!$L$2:$O$2,0)),0))</f>
        <v>0</v>
      </c>
      <c r="G512" s="29" t="e">
        <f>ROUND((3600*F512/SUMIF($E$2:$E$521,E512,$F$2:$F$521))/VLOOKUP(A512,Operations!$A$3:$F$132,6,FALSE),0)</f>
        <v>#DIV/0!</v>
      </c>
      <c r="H512" s="28" t="e">
        <f t="shared" si="7"/>
        <v>#DIV/0!</v>
      </c>
    </row>
    <row r="513" spans="1:8" x14ac:dyDescent="0.3">
      <c r="A513" s="2" t="s">
        <v>129</v>
      </c>
      <c r="B513" s="8">
        <f>VLOOKUP(A513,Operations!$A$3:$B$132,2,TRUE)</f>
        <v>5</v>
      </c>
      <c r="C513" s="8">
        <f>VLOOKUP(A513,Operations!$A$3:$C$132,3,0)</f>
        <v>0</v>
      </c>
      <c r="D513" s="2" t="s">
        <v>152</v>
      </c>
      <c r="E513" s="2">
        <f>IFERROR(INDEX(Operations!$H$3:$K$132,MATCH(A513,Operations!$A$3:$A$132,0),MATCH(Link!D513,Operations!$H$2:$K$2,0)),"")</f>
        <v>0</v>
      </c>
      <c r="F513" t="b">
        <f>IF(E513&lt;&gt;0,IFERROR(VLOOKUP(A513,Operations!$A$3:$F$132,6,FALSE)*INDEX(Operations!$L$3:$O$132,MATCH(Link!A513,Operations!$A$3:$A$132,0),MATCH(Link!D513,Operations!$L$2:$O$2,0)),0))</f>
        <v>0</v>
      </c>
      <c r="G513" s="29" t="e">
        <f>ROUND((3600*F513/SUMIF($E$2:$E$521,E513,$F$2:$F$521))/VLOOKUP(A513,Operations!$A$3:$F$132,6,FALSE),0)</f>
        <v>#DIV/0!</v>
      </c>
      <c r="H513" s="28" t="e">
        <f t="shared" si="7"/>
        <v>#DIV/0!</v>
      </c>
    </row>
    <row r="514" spans="1:8" x14ac:dyDescent="0.3">
      <c r="A514" s="2" t="s">
        <v>130</v>
      </c>
      <c r="B514" s="8">
        <f>VLOOKUP(A514,Operations!$A$3:$B$132,2,TRUE)</f>
        <v>5</v>
      </c>
      <c r="C514" s="8">
        <f>VLOOKUP(A514,Operations!$A$3:$C$132,3,0)</f>
        <v>0</v>
      </c>
      <c r="D514" s="2" t="s">
        <v>152</v>
      </c>
      <c r="E514" s="2">
        <f>IFERROR(INDEX(Operations!$H$3:$K$132,MATCH(A514,Operations!$A$3:$A$132,0),MATCH(Link!D514,Operations!$H$2:$K$2,0)),"")</f>
        <v>0</v>
      </c>
      <c r="F514" t="b">
        <f>IF(E514&lt;&gt;0,IFERROR(VLOOKUP(A514,Operations!$A$3:$F$132,6,FALSE)*INDEX(Operations!$L$3:$O$132,MATCH(Link!A514,Operations!$A$3:$A$132,0),MATCH(Link!D514,Operations!$L$2:$O$2,0)),0))</f>
        <v>0</v>
      </c>
      <c r="G514" s="29" t="e">
        <f>ROUND((3600*F514/SUMIF($E$2:$E$521,E514,$F$2:$F$521))/VLOOKUP(A514,Operations!$A$3:$F$132,6,FALSE),0)</f>
        <v>#DIV/0!</v>
      </c>
      <c r="H514" s="28" t="e">
        <f t="shared" si="7"/>
        <v>#DIV/0!</v>
      </c>
    </row>
    <row r="515" spans="1:8" x14ac:dyDescent="0.3">
      <c r="A515" s="2" t="s">
        <v>131</v>
      </c>
      <c r="B515" s="8">
        <f>VLOOKUP(A515,Operations!$A$3:$B$132,2,TRUE)</f>
        <v>5</v>
      </c>
      <c r="C515" s="8">
        <f>VLOOKUP(A515,Operations!$A$3:$C$132,3,0)</f>
        <v>0</v>
      </c>
      <c r="D515" s="2" t="s">
        <v>152</v>
      </c>
      <c r="E515" s="2">
        <f>IFERROR(INDEX(Operations!$H$3:$K$132,MATCH(A515,Operations!$A$3:$A$132,0),MATCH(Link!D515,Operations!$H$2:$K$2,0)),"")</f>
        <v>0</v>
      </c>
      <c r="F515" t="b">
        <f>IF(E515&lt;&gt;0,IFERROR(VLOOKUP(A515,Operations!$A$3:$F$132,6,FALSE)*INDEX(Operations!$L$3:$O$132,MATCH(Link!A515,Operations!$A$3:$A$132,0),MATCH(Link!D515,Operations!$L$2:$O$2,0)),0))</f>
        <v>0</v>
      </c>
      <c r="G515" s="29" t="e">
        <f>ROUND((3600*F515/SUMIF($E$2:$E$521,E515,$F$2:$F$521))/VLOOKUP(A515,Operations!$A$3:$F$132,6,FALSE),0)</f>
        <v>#DIV/0!</v>
      </c>
      <c r="H515" s="28" t="e">
        <f t="shared" ref="H515:H521" si="8">C515&amp;":"&amp;" "&amp;G515</f>
        <v>#DIV/0!</v>
      </c>
    </row>
    <row r="516" spans="1:8" x14ac:dyDescent="0.3">
      <c r="A516" s="2" t="s">
        <v>132</v>
      </c>
      <c r="B516" s="8">
        <f>VLOOKUP(A516,Operations!$A$3:$B$132,2,TRUE)</f>
        <v>5</v>
      </c>
      <c r="C516" s="8">
        <f>VLOOKUP(A516,Operations!$A$3:$C$132,3,0)</f>
        <v>0</v>
      </c>
      <c r="D516" s="2" t="s">
        <v>152</v>
      </c>
      <c r="E516" s="2">
        <f>IFERROR(INDEX(Operations!$H$3:$K$132,MATCH(A516,Operations!$A$3:$A$132,0),MATCH(Link!D516,Operations!$H$2:$K$2,0)),"")</f>
        <v>0</v>
      </c>
      <c r="F516" t="b">
        <f>IF(E516&lt;&gt;0,IFERROR(VLOOKUP(A516,Operations!$A$3:$F$132,6,FALSE)*INDEX(Operations!$L$3:$O$132,MATCH(Link!A516,Operations!$A$3:$A$132,0),MATCH(Link!D516,Operations!$L$2:$O$2,0)),0))</f>
        <v>0</v>
      </c>
      <c r="G516" s="29" t="e">
        <f>ROUND((3600*F516/SUMIF($E$2:$E$521,E516,$F$2:$F$521))/VLOOKUP(A516,Operations!$A$3:$F$132,6,FALSE),0)</f>
        <v>#DIV/0!</v>
      </c>
      <c r="H516" s="28" t="e">
        <f t="shared" si="8"/>
        <v>#DIV/0!</v>
      </c>
    </row>
    <row r="517" spans="1:8" x14ac:dyDescent="0.3">
      <c r="A517" s="2" t="s">
        <v>133</v>
      </c>
      <c r="B517" s="8">
        <f>VLOOKUP(A517,Operations!$A$3:$B$132,2,TRUE)</f>
        <v>5</v>
      </c>
      <c r="C517" s="8">
        <f>VLOOKUP(A517,Operations!$A$3:$C$132,3,0)</f>
        <v>0</v>
      </c>
      <c r="D517" s="2" t="s">
        <v>152</v>
      </c>
      <c r="E517" s="2">
        <f>IFERROR(INDEX(Operations!$H$3:$K$132,MATCH(A517,Operations!$A$3:$A$132,0),MATCH(Link!D517,Operations!$H$2:$K$2,0)),"")</f>
        <v>0</v>
      </c>
      <c r="F517" t="b">
        <f>IF(E517&lt;&gt;0,IFERROR(VLOOKUP(A517,Operations!$A$3:$F$132,6,FALSE)*INDEX(Operations!$L$3:$O$132,MATCH(Link!A517,Operations!$A$3:$A$132,0),MATCH(Link!D517,Operations!$L$2:$O$2,0)),0))</f>
        <v>0</v>
      </c>
      <c r="G517" s="29" t="e">
        <f>ROUND((3600*F517/SUMIF($E$2:$E$521,E517,$F$2:$F$521))/VLOOKUP(A517,Operations!$A$3:$F$132,6,FALSE),0)</f>
        <v>#DIV/0!</v>
      </c>
      <c r="H517" s="28" t="e">
        <f t="shared" si="8"/>
        <v>#DIV/0!</v>
      </c>
    </row>
    <row r="518" spans="1:8" x14ac:dyDescent="0.3">
      <c r="A518" s="2" t="s">
        <v>134</v>
      </c>
      <c r="B518" s="8">
        <f>VLOOKUP(A518,Operations!$A$3:$B$132,2,TRUE)</f>
        <v>5</v>
      </c>
      <c r="C518" s="8">
        <f>VLOOKUP(A518,Operations!$A$3:$C$132,3,0)</f>
        <v>0</v>
      </c>
      <c r="D518" s="2" t="s">
        <v>152</v>
      </c>
      <c r="E518" s="2">
        <f>IFERROR(INDEX(Operations!$H$3:$K$132,MATCH(A518,Operations!$A$3:$A$132,0),MATCH(Link!D518,Operations!$H$2:$K$2,0)),"")</f>
        <v>0</v>
      </c>
      <c r="F518" t="b">
        <f>IF(E518&lt;&gt;0,IFERROR(VLOOKUP(A518,Operations!$A$3:$F$132,6,FALSE)*INDEX(Operations!$L$3:$O$132,MATCH(Link!A518,Operations!$A$3:$A$132,0),MATCH(Link!D518,Operations!$L$2:$O$2,0)),0))</f>
        <v>0</v>
      </c>
      <c r="G518" s="29" t="e">
        <f>ROUND((3600*F518/SUMIF($E$2:$E$521,E518,$F$2:$F$521))/VLOOKUP(A518,Operations!$A$3:$F$132,6,FALSE),0)</f>
        <v>#DIV/0!</v>
      </c>
      <c r="H518" s="28" t="e">
        <f t="shared" si="8"/>
        <v>#DIV/0!</v>
      </c>
    </row>
    <row r="519" spans="1:8" x14ac:dyDescent="0.3">
      <c r="A519" s="2" t="s">
        <v>135</v>
      </c>
      <c r="B519" s="8">
        <f>VLOOKUP(A519,Operations!$A$3:$B$132,2,TRUE)</f>
        <v>5</v>
      </c>
      <c r="C519" s="8">
        <f>VLOOKUP(A519,Operations!$A$3:$C$132,3,0)</f>
        <v>0</v>
      </c>
      <c r="D519" s="2" t="s">
        <v>152</v>
      </c>
      <c r="E519" s="2">
        <f>IFERROR(INDEX(Operations!$H$3:$K$132,MATCH(A519,Operations!$A$3:$A$132,0),MATCH(Link!D519,Operations!$H$2:$K$2,0)),"")</f>
        <v>0</v>
      </c>
      <c r="F519" t="b">
        <f>IF(E519&lt;&gt;0,IFERROR(VLOOKUP(A519,Operations!$A$3:$F$132,6,FALSE)*INDEX(Operations!$L$3:$O$132,MATCH(Link!A519,Operations!$A$3:$A$132,0),MATCH(Link!D519,Operations!$L$2:$O$2,0)),0))</f>
        <v>0</v>
      </c>
      <c r="G519" s="29" t="e">
        <f>ROUND((3600*F519/SUMIF($E$2:$E$521,E519,$F$2:$F$521))/VLOOKUP(A519,Operations!$A$3:$F$132,6,FALSE),0)</f>
        <v>#DIV/0!</v>
      </c>
      <c r="H519" s="28" t="e">
        <f t="shared" si="8"/>
        <v>#DIV/0!</v>
      </c>
    </row>
    <row r="520" spans="1:8" x14ac:dyDescent="0.3">
      <c r="A520" s="2" t="s">
        <v>136</v>
      </c>
      <c r="B520" s="8">
        <f>VLOOKUP(A520,Operations!$A$3:$B$132,2,TRUE)</f>
        <v>5</v>
      </c>
      <c r="C520" s="8">
        <f>VLOOKUP(A520,Operations!$A$3:$C$132,3,0)</f>
        <v>0</v>
      </c>
      <c r="D520" s="2" t="s">
        <v>152</v>
      </c>
      <c r="E520" s="2">
        <f>IFERROR(INDEX(Operations!$H$3:$K$132,MATCH(A520,Operations!$A$3:$A$132,0),MATCH(Link!D520,Operations!$H$2:$K$2,0)),"")</f>
        <v>0</v>
      </c>
      <c r="F520" t="b">
        <f>IF(E520&lt;&gt;0,IFERROR(VLOOKUP(A520,Operations!$A$3:$F$132,6,FALSE)*INDEX(Operations!$L$3:$O$132,MATCH(Link!A520,Operations!$A$3:$A$132,0),MATCH(Link!D520,Operations!$L$2:$O$2,0)),0))</f>
        <v>0</v>
      </c>
      <c r="G520" s="29" t="e">
        <f>ROUND((3600*F520/SUMIF($E$2:$E$521,E520,$F$2:$F$521))/VLOOKUP(A520,Operations!$A$3:$F$132,6,FALSE),0)</f>
        <v>#DIV/0!</v>
      </c>
      <c r="H520" s="28" t="e">
        <f t="shared" si="8"/>
        <v>#DIV/0!</v>
      </c>
    </row>
    <row r="521" spans="1:8" x14ac:dyDescent="0.3">
      <c r="A521" s="2" t="s">
        <v>137</v>
      </c>
      <c r="B521" s="8">
        <f>VLOOKUP(A521,Operations!$A$3:$B$132,2,TRUE)</f>
        <v>4</v>
      </c>
      <c r="C521" s="8">
        <f>VLOOKUP(A521,Operations!$A$3:$C$132,3,0)</f>
        <v>0</v>
      </c>
      <c r="D521" s="2" t="s">
        <v>152</v>
      </c>
      <c r="E521" s="2">
        <f>IFERROR(INDEX(Operations!$H$3:$K$132,MATCH(A521,Operations!$A$3:$A$132,0),MATCH(Link!D521,Operations!$H$2:$K$2,0)),"")</f>
        <v>0</v>
      </c>
      <c r="F521" t="b">
        <f>IF(E521&lt;&gt;0,IFERROR(VLOOKUP(A521,Operations!$A$3:$F$132,6,FALSE)*INDEX(Operations!$L$3:$O$132,MATCH(Link!A521,Operations!$A$3:$A$132,0),MATCH(Link!D521,Operations!$L$2:$O$2,0)),0))</f>
        <v>0</v>
      </c>
      <c r="G521" s="29" t="e">
        <f>ROUND((3600*F521/SUMIF($E$2:$E$521,E521,$F$2:$F$521))/VLOOKUP(A521,Operations!$A$3:$F$132,6,FALSE),0)</f>
        <v>#DIV/0!</v>
      </c>
      <c r="H521" s="28" t="e">
        <f t="shared" si="8"/>
        <v>#DIV/0!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C193-D9E3-413A-AE7D-60CCF4A28392}">
  <dimension ref="A1:B29"/>
  <sheetViews>
    <sheetView workbookViewId="0">
      <selection activeCell="I17" sqref="I17"/>
    </sheetView>
  </sheetViews>
  <sheetFormatPr defaultRowHeight="14.4" x14ac:dyDescent="0.3"/>
  <sheetData>
    <row r="1" spans="1:2" x14ac:dyDescent="0.3">
      <c r="A1" s="8">
        <v>2</v>
      </c>
      <c r="B1">
        <v>1</v>
      </c>
    </row>
    <row r="2" spans="1:2" x14ac:dyDescent="0.3">
      <c r="A2" s="8">
        <v>3</v>
      </c>
      <c r="B2">
        <v>2</v>
      </c>
    </row>
    <row r="3" spans="1:2" x14ac:dyDescent="0.3">
      <c r="A3" s="8">
        <v>5</v>
      </c>
      <c r="B3">
        <v>3</v>
      </c>
    </row>
    <row r="4" spans="1:2" x14ac:dyDescent="0.3">
      <c r="A4" s="8" t="s">
        <v>140</v>
      </c>
      <c r="B4">
        <v>4</v>
      </c>
    </row>
    <row r="5" spans="1:2" x14ac:dyDescent="0.3">
      <c r="B5">
        <v>5</v>
      </c>
    </row>
    <row r="6" spans="1:2" x14ac:dyDescent="0.3">
      <c r="B6">
        <v>6</v>
      </c>
    </row>
    <row r="7" spans="1:2" x14ac:dyDescent="0.3">
      <c r="B7">
        <v>7</v>
      </c>
    </row>
    <row r="8" spans="1:2" x14ac:dyDescent="0.3">
      <c r="B8">
        <v>8</v>
      </c>
    </row>
    <row r="9" spans="1:2" x14ac:dyDescent="0.3">
      <c r="B9">
        <v>9</v>
      </c>
    </row>
    <row r="10" spans="1:2" x14ac:dyDescent="0.3">
      <c r="B10">
        <v>10</v>
      </c>
    </row>
    <row r="11" spans="1:2" x14ac:dyDescent="0.3">
      <c r="B11">
        <v>11</v>
      </c>
    </row>
    <row r="12" spans="1:2" x14ac:dyDescent="0.3">
      <c r="B12">
        <v>12</v>
      </c>
    </row>
    <row r="13" spans="1:2" x14ac:dyDescent="0.3">
      <c r="B13">
        <v>13</v>
      </c>
    </row>
    <row r="14" spans="1:2" x14ac:dyDescent="0.3">
      <c r="B14">
        <v>14</v>
      </c>
    </row>
    <row r="15" spans="1:2" x14ac:dyDescent="0.3">
      <c r="B15">
        <v>15</v>
      </c>
    </row>
    <row r="16" spans="1:2" x14ac:dyDescent="0.3">
      <c r="B16">
        <v>16</v>
      </c>
    </row>
    <row r="17" spans="2:2" x14ac:dyDescent="0.3">
      <c r="B17">
        <v>17</v>
      </c>
    </row>
    <row r="18" spans="2:2" x14ac:dyDescent="0.3">
      <c r="B18">
        <v>18</v>
      </c>
    </row>
    <row r="19" spans="2:2" x14ac:dyDescent="0.3">
      <c r="B19">
        <v>19</v>
      </c>
    </row>
    <row r="20" spans="2:2" x14ac:dyDescent="0.3">
      <c r="B20">
        <v>20</v>
      </c>
    </row>
    <row r="21" spans="2:2" x14ac:dyDescent="0.3">
      <c r="B21">
        <v>21</v>
      </c>
    </row>
    <row r="22" spans="2:2" x14ac:dyDescent="0.3">
      <c r="B22">
        <v>22</v>
      </c>
    </row>
    <row r="23" spans="2:2" x14ac:dyDescent="0.3">
      <c r="B23">
        <v>23</v>
      </c>
    </row>
    <row r="24" spans="2:2" x14ac:dyDescent="0.3">
      <c r="B24">
        <v>24</v>
      </c>
    </row>
    <row r="25" spans="2:2" x14ac:dyDescent="0.3">
      <c r="B25">
        <v>25</v>
      </c>
    </row>
    <row r="26" spans="2:2" x14ac:dyDescent="0.3">
      <c r="B26">
        <v>26</v>
      </c>
    </row>
    <row r="27" spans="2:2" x14ac:dyDescent="0.3">
      <c r="B27">
        <v>27</v>
      </c>
    </row>
    <row r="28" spans="2:2" x14ac:dyDescent="0.3">
      <c r="B28">
        <v>28</v>
      </c>
    </row>
    <row r="29" spans="2:2" x14ac:dyDescent="0.3">
      <c r="B2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Operations</vt:lpstr>
      <vt:lpstr>Link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Deta Hao</dc:creator>
  <cp:lastModifiedBy>Hao Duong Quang /ThanhCong-Productivity Innovation Tea</cp:lastModifiedBy>
  <dcterms:created xsi:type="dcterms:W3CDTF">2015-06-05T18:17:20Z</dcterms:created>
  <dcterms:modified xsi:type="dcterms:W3CDTF">2025-10-02T07:58:49Z</dcterms:modified>
</cp:coreProperties>
</file>